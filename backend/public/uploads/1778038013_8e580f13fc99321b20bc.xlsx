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chos\Downloads\"/>
    </mc:Choice>
  </mc:AlternateContent>
  <xr:revisionPtr revIDLastSave="0" documentId="13_ncr:1_{B8FD28B5-7461-484D-B3CE-6F6C0D0AA6F4}" xr6:coauthVersionLast="47" xr6:coauthVersionMax="47" xr10:uidLastSave="{00000000-0000-0000-0000-000000000000}"/>
  <bookViews>
    <workbookView xWindow="-120" yWindow="-120" windowWidth="29040" windowHeight="16440" tabRatio="500" activeTab="5" xr2:uid="{00000000-000D-0000-FFFF-FFFF00000000}"/>
  </bookViews>
  <sheets>
    <sheet name="Dashboard" sheetId="1" r:id="rId1"/>
    <sheet name="Publications_Summary" sheetId="2" r:id="rId2"/>
    <sheet name="Faculty_Metrics" sheetId="3" r:id="rId3"/>
    <sheet name="Tracking_Log" sheetId="4" r:id="rId4"/>
    <sheet name="Faculty_Data" sheetId="5" r:id="rId5"/>
    <sheet name="Data_2025" sheetId="6" r:id="rId6"/>
    <sheet name="Data_2024" sheetId="7" r:id="rId7"/>
    <sheet name="Data_2023" sheetId="8" r:id="rId8"/>
    <sheet name="Data_2022" sheetId="9" r:id="rId9"/>
    <sheet name="Data_2021" sheetId="10" r:id="rId10"/>
    <sheet name="Data_2020" sheetId="11" r:id="rId11"/>
    <sheet name="Data_2018_2019" sheetId="12" r:id="rId12"/>
    <sheet name="Data_2017_below"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5" i="3" l="1"/>
  <c r="C15" i="1" s="1"/>
  <c r="B4" i="3"/>
  <c r="C14" i="1" s="1"/>
  <c r="B3" i="3"/>
  <c r="E9" i="1" s="1"/>
  <c r="B2" i="3"/>
  <c r="B6" i="3" s="1"/>
  <c r="C16" i="1" s="1"/>
  <c r="B12" i="2"/>
  <c r="B11" i="2"/>
  <c r="B10" i="2"/>
  <c r="B26" i="1" s="1"/>
  <c r="B9" i="2"/>
  <c r="B25" i="1" s="1"/>
  <c r="B8" i="2"/>
  <c r="B24" i="1" s="1"/>
  <c r="B7" i="2"/>
  <c r="B6" i="2"/>
  <c r="B5" i="2"/>
  <c r="B21" i="1" s="1"/>
  <c r="B3" i="2"/>
  <c r="E6" i="1" s="1"/>
  <c r="B27" i="1"/>
  <c r="B23" i="1"/>
  <c r="B22" i="1"/>
  <c r="B20" i="1"/>
  <c r="A9" i="1"/>
  <c r="B2" i="2" l="1"/>
  <c r="A6" i="1" s="1"/>
</calcChain>
</file>

<file path=xl/sharedStrings.xml><?xml version="1.0" encoding="utf-8"?>
<sst xmlns="http://schemas.openxmlformats.org/spreadsheetml/2006/main" count="4774" uniqueCount="2948">
  <si>
    <t>BSU REMIS - Research Publications Monitoring Dashboard</t>
  </si>
  <si>
    <t>Last Updated:</t>
  </si>
  <si>
    <t>2026-01-27 14:05:06</t>
  </si>
  <si>
    <t>KEY PERFORMANCE INDICATORS</t>
  </si>
  <si>
    <t>Total Publications (All Years)</t>
  </si>
  <si>
    <t>Publications 2025</t>
  </si>
  <si>
    <t>Total Faculty Tracked</t>
  </si>
  <si>
    <t>Avg H-Index</t>
  </si>
  <si>
    <t>ALERTS &amp; NOTIFICATIONS</t>
  </si>
  <si>
    <t>Alert Type</t>
  </si>
  <si>
    <t>Description</t>
  </si>
  <si>
    <t>Count</t>
  </si>
  <si>
    <t>Status</t>
  </si>
  <si>
    <t>Missing H-Index</t>
  </si>
  <si>
    <t>Faculty without H-index data</t>
  </si>
  <si>
    <t>Review</t>
  </si>
  <si>
    <t>Low Citations</t>
  </si>
  <si>
    <t>Faculty with &lt;100 citations</t>
  </si>
  <si>
    <t>Monitor</t>
  </si>
  <si>
    <t>No Recent Pubs</t>
  </si>
  <si>
    <t>Faculty with no 2024-2025 pubs</t>
  </si>
  <si>
    <t>Action Needed</t>
  </si>
  <si>
    <t>PUBLICATION TRENDS BY YEAR</t>
  </si>
  <si>
    <t>Year</t>
  </si>
  <si>
    <t>Publications</t>
  </si>
  <si>
    <t>2025</t>
  </si>
  <si>
    <t>2024</t>
  </si>
  <si>
    <t>2023</t>
  </si>
  <si>
    <t>2022</t>
  </si>
  <si>
    <t>2021</t>
  </si>
  <si>
    <t>2020</t>
  </si>
  <si>
    <t>2018-2019</t>
  </si>
  <si>
    <t>2017-below</t>
  </si>
  <si>
    <t>PUBLICATION STATISTICS SUMMARY</t>
  </si>
  <si>
    <t>2017 &amp; Below</t>
  </si>
  <si>
    <t>FACULTY RESEARCH METRICS</t>
  </si>
  <si>
    <t>Total Faculty/Researchers</t>
  </si>
  <si>
    <t>Average H-Index</t>
  </si>
  <si>
    <t>Missing H-Index Count</t>
  </si>
  <si>
    <t>Faculty with &lt;100 Citations</t>
  </si>
  <si>
    <t>Faculty without Recent Pubs</t>
  </si>
  <si>
    <t>PUBLICATION TRACKING LOG</t>
  </si>
  <si>
    <t>Date</t>
  </si>
  <si>
    <t>Action Type</t>
  </si>
  <si>
    <t>Publication Title</t>
  </si>
  <si>
    <t>Author(s)</t>
  </si>
  <si>
    <t>College/Institute</t>
  </si>
  <si>
    <t>Publication Type</t>
  </si>
  <si>
    <t>Updated By</t>
  </si>
  <si>
    <t>Notes</t>
  </si>
  <si>
    <t>2026-01-27</t>
  </si>
  <si>
    <t>Initial Setup</t>
  </si>
  <si>
    <t>System</t>
  </si>
  <si>
    <t>Monitoring system created</t>
  </si>
  <si>
    <t>System Admin</t>
  </si>
  <si>
    <t>Name</t>
  </si>
  <si>
    <t>Citations</t>
  </si>
  <si>
    <t>H-Index</t>
  </si>
  <si>
    <t>i-10 Index</t>
  </si>
  <si>
    <t>Scholar Account</t>
  </si>
  <si>
    <t>Roscinto Ian C. Lumbres</t>
  </si>
  <si>
    <t>https://scholar.google.com/citations?user=DMax5CIAAAAJ&amp;hl=en&amp;oi=ao</t>
  </si>
  <si>
    <t>Cheryll C. Launio</t>
  </si>
  <si>
    <t>https://scholar.google.com/citations?hl=en&amp;user=Lqml6uwAAAAJ</t>
  </si>
  <si>
    <t>Jones Napaldet</t>
  </si>
  <si>
    <t>https://scholar.google.com/citations?hl=en&amp;user=4oMSPvIAAAAJ</t>
  </si>
  <si>
    <t>Sherlyn Tipayno</t>
  </si>
  <si>
    <t>Sherlyn Tipayno - Google Scholar</t>
  </si>
  <si>
    <t>Nordalyn Pedroche</t>
  </si>
  <si>
    <t>https://scholar.google.com/citations?hl=en&amp;user=FzNIYCUAAAAJ</t>
  </si>
  <si>
    <t>Cynthia Garambas</t>
  </si>
  <si>
    <t>https://scholar.google.com/citations?hl=en&amp;user=Ih7poOcAAAAJ</t>
  </si>
  <si>
    <t>Ruth S. Batani</t>
  </si>
  <si>
    <t>https://scholar.google.com/citations?hl=en&amp;user=YN-qtvgAAAAJ</t>
  </si>
  <si>
    <t>Joyce N. Paing</t>
  </si>
  <si>
    <t>https://scholar.google.com/citations?hl=en&amp;user=ow8JcAYAAAAJ</t>
  </si>
  <si>
    <t>Kenneth A. Laruan</t>
  </si>
  <si>
    <t>https://scholar.google.com/citations?hl=en&amp;user=PyO6wrQAAAAJ</t>
  </si>
  <si>
    <t>Janet P. Pablo</t>
  </si>
  <si>
    <t>https://scholar.google.com/citations?hl=en&amp;user=yAkouz0AAAAJ</t>
  </si>
  <si>
    <t>Jude Tayaben</t>
  </si>
  <si>
    <t>https://scholar.google.com/citations?hl=en&amp;user=P9R_wQsAAAAJ</t>
  </si>
  <si>
    <t>Nova D. Doyog</t>
  </si>
  <si>
    <t>https://scholar.google.com/citations?hl=en&amp;user=-WSRHRgAAAAJ</t>
  </si>
  <si>
    <t>Bernard Peter O. Daipan</t>
  </si>
  <si>
    <t>https://scholar.google.com/citations?hl=en&amp;user=Wh-UtCMAAAAJ</t>
  </si>
  <si>
    <t>Grace S. Backian</t>
  </si>
  <si>
    <t>https://scholar.google.com/citations?hl=en&amp;user=PA45re8AAAAJ</t>
  </si>
  <si>
    <t>Dalen T. Meldoz</t>
  </si>
  <si>
    <t>Esther Botangen</t>
  </si>
  <si>
    <t>https://scholar.google.com/citations?hl=en&amp;user=JVLR2AoAAAAJ</t>
  </si>
  <si>
    <t>Lawrence C. Caranto</t>
  </si>
  <si>
    <t>https://scholar.google.com/citations?hl=en&amp;user=mb1fOpoAAAAJ</t>
  </si>
  <si>
    <t>Ann Heather B. Kiwang</t>
  </si>
  <si>
    <t>https://scholar.google.com/citations?hl=en&amp;user=hP8VWfsAAAAJ</t>
  </si>
  <si>
    <t>Daniel Jr. Balbin</t>
  </si>
  <si>
    <t>https://scholar.google.com/citations?hl=en&amp;user=YXd9peYAAAAJ</t>
  </si>
  <si>
    <t>Marissa Parao</t>
  </si>
  <si>
    <t>https://scholar.google.com/citations?hl=en&amp;user=KiiQ4foAAAAJ</t>
  </si>
  <si>
    <t>Darwin Basquial</t>
  </si>
  <si>
    <t>https://scholar.google.com/citations?hl=en&amp;user=Vv8YJoEAAAAJ</t>
  </si>
  <si>
    <t>Esther Josephine D. Sagalla</t>
  </si>
  <si>
    <t>https://scholar.google.com/citations?hl=en&amp;user=poGlUkEAAAAJ</t>
  </si>
  <si>
    <t>Bretel Dolipas</t>
  </si>
  <si>
    <t>https://scholar.google.com/citations?hl=en&amp;user=DREmjywAAAAJ</t>
  </si>
  <si>
    <t>Ronda B. Tullay</t>
  </si>
  <si>
    <t>https://scholar.google.com/citations?hl=en&amp;user=pKmp2BYAAAAJ</t>
  </si>
  <si>
    <t>Marvin Valentin</t>
  </si>
  <si>
    <t>https://scholar.google.com/citations?hl=en&amp;user=8_fUSUcAAAAJ</t>
  </si>
  <si>
    <t>Renebeth Gatudan Donguiz</t>
  </si>
  <si>
    <t>https://scholar.google.com/citations?hl=en&amp;user=y-L2ZTIAAAAJ</t>
  </si>
  <si>
    <t>John Rey Pelila</t>
  </si>
  <si>
    <t>https://scholar.google.com/citations?hl=en&amp;user=vc_NS64AAAAJ</t>
  </si>
  <si>
    <t>Jhordan T. Cuilan</t>
  </si>
  <si>
    <t>https://scholar.google.com/citations?hl=en&amp;user=Y5Ot_3wAAAAJ</t>
  </si>
  <si>
    <t>Gleemoore C. Makie</t>
  </si>
  <si>
    <t>https://scholar.google.com/citations?hl=en&amp;user=7OaxIsYAAAAJ</t>
  </si>
  <si>
    <t>Jesson Del-amen</t>
  </si>
  <si>
    <t>https://scholar.google.com/citations?hl=en&amp;user=xuGuANoAAAAJ</t>
  </si>
  <si>
    <t>Teresita D. Masangcay</t>
  </si>
  <si>
    <t>https://scholar.google.com/citations?hl=en&amp;user=MsVyn6QAAAAJ</t>
  </si>
  <si>
    <t>Conrado C. Bao-idang</t>
  </si>
  <si>
    <t>https://scholar.google.com/citations?hl=en&amp;user=ekZGp3EAAAAJ</t>
  </si>
  <si>
    <t>Nora Hill Evasco</t>
  </si>
  <si>
    <t>https://scholar.google.com/citations?hl=en&amp;user=I4qXom8AAAAJ</t>
  </si>
  <si>
    <t>Stanley F. Angonos, Jr.</t>
  </si>
  <si>
    <t>https://scholar.google.com/citations?hl=en&amp;user=lH542fYAAAAJ</t>
  </si>
  <si>
    <t>Joseph B. Quinto</t>
  </si>
  <si>
    <t>https://scholar.google.com/citations?hl=en&amp;user=hTEK3WYAAAAJ</t>
  </si>
  <si>
    <t>Elizabeth A. Lascano</t>
  </si>
  <si>
    <t>https://scholar.google.com/citations?hl=en&amp;user=W67OyrcAAAAJ</t>
  </si>
  <si>
    <t>Divina Yango</t>
  </si>
  <si>
    <t>https://scholar.google.com/citations?hl=en&amp;user=ep9pn1kAAAAJ</t>
  </si>
  <si>
    <t>Lesley Dale Umayat</t>
  </si>
  <si>
    <t>https://scholar.google.com/citations?hl=en&amp;user=-FTcY0gAAAAJ</t>
  </si>
  <si>
    <t>Noel Waclet Cabfilan</t>
  </si>
  <si>
    <t>https://scholar.google.com/citations?hl=en&amp;user=eRYjj_cAAAAJ</t>
  </si>
  <si>
    <t>Apler J. Bansiong</t>
  </si>
  <si>
    <t>https://scholar.google.com/citations?hl=en&amp;user=Y3vamKYAAAAJ</t>
  </si>
  <si>
    <t>Dolores E. Alawas</t>
  </si>
  <si>
    <t>https://scholar.google.com/citations?hl=en&amp;user=URnAL6wAAAAJ</t>
  </si>
  <si>
    <t>Janet Lynn Balagtey</t>
  </si>
  <si>
    <t>https://scholar.google.com/citations?hl=en&amp;user=IzJUUEkAAAAJ</t>
  </si>
  <si>
    <t>Von Y. Amado</t>
  </si>
  <si>
    <t>https://scholar.google.com/citations?hl=en&amp;user=tvxpjX0AAAAJ</t>
  </si>
  <si>
    <t>Frevy Teofilo Orencia</t>
  </si>
  <si>
    <t>https://scholar.google.com/citations?hl=en&amp;user=x8PlsbMAAAAJ</t>
  </si>
  <si>
    <t>Maricel Guron</t>
  </si>
  <si>
    <t>https://scholar.google.com/citations?hl=en&amp;user=SCSvSk0AAAAJ</t>
  </si>
  <si>
    <t>Imelda Parcasio</t>
  </si>
  <si>
    <t>https://scholar.google.com/citations?hl=en&amp;user=-zoRhjwAAAAJ</t>
  </si>
  <si>
    <t>Russell B. Dolendo</t>
  </si>
  <si>
    <t>https://scholar.google.com/citations?hl=en&amp;user=a8uUB_UAAAAJ</t>
  </si>
  <si>
    <t>Matyline Camfili</t>
  </si>
  <si>
    <t>https://scholar.google.com/citations?hl=en&amp;user=RPjtg8cAAAAJ</t>
  </si>
  <si>
    <t>Kristine Baniqued-Dela Cruz</t>
  </si>
  <si>
    <t>https://scholar.google.com/citations?hl=en&amp;user=A9oN0v8AAAAJ</t>
  </si>
  <si>
    <t>Jennifer Paltiyan- Bugtong</t>
  </si>
  <si>
    <t>https://scholar.google.com/citations?hl=en&amp;user=-lBMSQwAAAAJ</t>
  </si>
  <si>
    <t>Chester B. Esnara</t>
  </si>
  <si>
    <t>https://scholar.google.com/citations?hl=en&amp;user=QgG25c0AAAAJ</t>
  </si>
  <si>
    <t>Lynn J. Talkasen</t>
  </si>
  <si>
    <t>https://scholar.google.com/citations?hl=en&amp;user=7KEntRAAAAAJ</t>
  </si>
  <si>
    <t>Nick W. Sibaen</t>
  </si>
  <si>
    <t>https://scholar.google.com/citations?hl=en&amp;user=RyoT_4IAAAAJ</t>
  </si>
  <si>
    <t>Joel V Lubrica</t>
  </si>
  <si>
    <t>https://scholar.google.com/citations?user=qu0MXX4AAAAJ&amp;hl=tl&amp;oi=ao</t>
  </si>
  <si>
    <t>Maria Azucena Lubrica</t>
  </si>
  <si>
    <t>https://scholar.google.com/citations?user=MfFIlf0AAAAJ&amp;hl=tl&amp;oi=ao</t>
  </si>
  <si>
    <t>Monica S. Alimondo</t>
  </si>
  <si>
    <t>https://scholar.google.com/citations?user=zjfQnt0AAAAJ&amp;hl=tl&amp;oi=ao</t>
  </si>
  <si>
    <t>Freda Kate Samuel</t>
  </si>
  <si>
    <t>https://scholar.google.com/citations?user=g9-9GQEAAAAJ&amp;hl=tl&amp;oi=ao</t>
  </si>
  <si>
    <t>Jovalson Abiasen</t>
  </si>
  <si>
    <t>https://scholar.google.com/citations?user=-0fm7UsAAAAJ&amp;hl=tl&amp;oi=ao</t>
  </si>
  <si>
    <t>Jennifer Lynn S. Ramos</t>
  </si>
  <si>
    <t>https://scholar.google.com/citations?user=CoQhGC4AAAAJ&amp;hl=tl&amp;oi=ao</t>
  </si>
  <si>
    <t>No.</t>
  </si>
  <si>
    <t>Title</t>
  </si>
  <si>
    <t>Pub Type</t>
  </si>
  <si>
    <t>Journal/Book</t>
  </si>
  <si>
    <t>Category</t>
  </si>
  <si>
    <t>Keywords</t>
  </si>
  <si>
    <t>URL</t>
  </si>
  <si>
    <t>Remarks</t>
  </si>
  <si>
    <t>Jan to June 2025</t>
  </si>
  <si>
    <t>CPAG/OSS</t>
  </si>
  <si>
    <t>Meanings and Experiences of Survival Among Filipino Women
Survivors of Abuse</t>
  </si>
  <si>
    <t>Carolyn Busongan Gano and Angeli Tuzon Austria</t>
  </si>
  <si>
    <t>Journal</t>
  </si>
  <si>
    <t>Pertanika Journal Social Sciences and Humanities</t>
  </si>
  <si>
    <t>Peer-reviewed</t>
  </si>
  <si>
    <t>Coping strategies, Filipino women, the
journey of survival, the meaning of survival, women empowerment, women survivors of abuse</t>
  </si>
  <si>
    <t>https://doi.org/10.47836/pjssh.33.1.03</t>
  </si>
  <si>
    <t>CA</t>
  </si>
  <si>
    <t>On-Farm Evaluation of Auxin-Treated Sugarcane Bud Chip for Enhanced
Growth and Yield</t>
  </si>
  <si>
    <t>Darwin M Cacal, Janet P Pablo, Darwin A Basquial, Esther Josephine D Sagalla and Leila Mary A Ayban</t>
  </si>
  <si>
    <t>Journal of Agriculture and Forest Meteorology Studies</t>
  </si>
  <si>
    <t>Sugarcane, Budchip, Auxin, Internodes, Bagasse yield</t>
  </si>
  <si>
    <t>https://manuscriptscientific.com/images/cafe8f883907979ef4cb2f2d57ea9890.pdf</t>
  </si>
  <si>
    <t>Co-authors</t>
  </si>
  <si>
    <t>CNS</t>
  </si>
  <si>
    <t>Water quality of Balili River before, during and after COVID: lessons learned and ways forwards for tropical river remediation</t>
  </si>
  <si>
    <t>Fernie D. SitSit, Romeo M. Dizon &amp; Jones T. Napaldet</t>
  </si>
  <si>
    <t xml:space="preserve"> Aquatic Ecology </t>
  </si>
  <si>
    <t>Scopus/Web of Science</t>
  </si>
  <si>
    <t>Self-purification, COVID, Water quality, Water quality index, Balili River</t>
  </si>
  <si>
    <t>https://doi.org/10.1007/s10452-024-10151-0</t>
  </si>
  <si>
    <t>CNAS</t>
  </si>
  <si>
    <t>Engineering Students’ Expectations about Calculus-based Physics</t>
  </si>
  <si>
    <t>Thrysha B. Dolipas &amp; Bretel B. Dolipas</t>
  </si>
  <si>
    <t xml:space="preserve">International Journal of Multidisciplinary Educational Research and Innovation 3 (1):284-297 </t>
  </si>
  <si>
    <t>peer-reviewed</t>
  </si>
  <si>
    <t>Physics expectations,   calculus- based, Physics,  sex,   senior high school, strand completed</t>
  </si>
  <si>
    <t>https://philpapers.org/rec/DOLESE</t>
  </si>
  <si>
    <t>CAH</t>
  </si>
  <si>
    <t>Assessment of Kankanaey Language Resources: A Document Review</t>
  </si>
  <si>
    <t>Ronda Bataclao Tullay, John Rey Osben Pelila</t>
  </si>
  <si>
    <t>Pakistan Journal of Life and Social Sciences</t>
  </si>
  <si>
    <t>Scopus</t>
  </si>
  <si>
    <t xml:space="preserve">Language Assessment,
Multilingual Education,
Philippines </t>
  </si>
  <si>
    <t>https://doi.org/10.57239/PJLSS-2025-23.1.00497</t>
  </si>
  <si>
    <t>Graduate’s Personal and Professional Impact Assessment: A Degree Program Sustainability Criteria</t>
  </si>
  <si>
    <t>Bretel B. Dolipas | Maria Azucena B. Lubrica | Serano L. Oryan | Freda Kate D. Samuel | Precious M. Valentin | Joel V. Lubrica | Julie A. Buasen | Phil S. Ocampo</t>
  </si>
  <si>
    <t>Journal of Interdisciplinary Perspectives</t>
  </si>
  <si>
    <t>Peer-reviewed but monthly released with 65 articles per volume</t>
  </si>
  <si>
    <t>https://www.ejournals.ph/article.php?id=26115</t>
  </si>
  <si>
    <t>How is English as a Lingua Franca (ELF) Transforming Education in ASEAN Universities?</t>
  </si>
  <si>
    <t>Mary Faye Suoc, Joanna Lastino,
Judilyne Lukingan, Mark Rendel Baraoil, John Rey Pelila</t>
  </si>
  <si>
    <t>Journal of Multidisciplinary Research and Development, 2(1), 102–115.</t>
  </si>
  <si>
    <t>stematic literature review, English proficiency, higher education institutions, lingua franca, ASEAN</t>
  </si>
  <si>
    <t>https://doi.org/10.56916/jmrd.v2i1.1024</t>
  </si>
  <si>
    <t>CPAG</t>
  </si>
  <si>
    <t>Empirical evidence on the practice of latitude of discretion in personnel selection: Basis for an informed intervention</t>
  </si>
  <si>
    <t>Renebeth G. Donguiz1*, Narda A. Garcia</t>
  </si>
  <si>
    <t>HO CHI MINH CITY OPEN UNIVERSITY JOURNAL OF SCIENCE</t>
  </si>
  <si>
    <t>civil service; governance; human resource; latitude of discretion; merit selection</t>
  </si>
  <si>
    <t>https://journalofscience.ou.edu.vn/index.php/soci-en/article/view/3553/2329</t>
  </si>
  <si>
    <t>Productivity of corn (Zea mays) under varying drought duration and nitrogen application at La, Trinidad, Benguet</t>
  </si>
  <si>
    <t>J.P. Pablo
G.M. Awidan
D.M. Cacal</t>
  </si>
  <si>
    <t>Asian Journal of Agriculture and Rural Development
Volume 15, Issue 1 (2025): 30-38</t>
  </si>
  <si>
    <t>Corn, Drought, Nitrogen, Productivity, Vegetative, Water stress, Zea mays</t>
  </si>
  <si>
    <t>https://archive.aessweb.com/index.php/5005/article/view/5299/8167</t>
  </si>
  <si>
    <t>Home-Based Community Internship Model: Exploring Employment Outcomes and Educational Strategies in Public Administration in Benguet, Philippines</t>
  </si>
  <si>
    <t>Atty. Julie M. Binaldo-Velasco</t>
  </si>
  <si>
    <t>Pedagogy Review: An International Journal of Educational Theories, Approaches and Strategies
2025, Vol. 4, No.2, 214 – 228 |</t>
  </si>
  <si>
    <t>home-based internship, employment outcomes, educational strategies, public administration</t>
  </si>
  <si>
    <t>https://doi.org/10.62718/vmca.pr-ijetas.4.2.SC-0225-021</t>
  </si>
  <si>
    <t>Assessing archaism in Philippine Indigenous languages: the case of Kankanaey as spoken in Mankayan, Benguet, Philippines</t>
  </si>
  <si>
    <t>John Rey Osben Pelila, 
Shirley Lacson Ayao-ao</t>
  </si>
  <si>
    <t>AlterNative: An International Journal of Indigenous Peoples
Volume 21, Issue 1
Pages: 54 - 63</t>
  </si>
  <si>
    <t>Web of Science</t>
  </si>
  <si>
    <t>archaism
Indigenous people
language assessment
mixed-method design
Philippines</t>
  </si>
  <si>
    <t>https://doi.org/10.1177/11771801241309727</t>
  </si>
  <si>
    <t>How Do Schools and Community Influence Indigenous Youth's Perceptions of English?</t>
  </si>
  <si>
    <t>Liaa Eve Dalilis Tacio, John Rey Osben Pelila</t>
  </si>
  <si>
    <t>Indonesian Journal of Research and Educational Review    Volume 4, No. 2, 2025, pp 263 - 274</t>
  </si>
  <si>
    <t xml:space="preserve"> English as a dominant language, Indigenous youth, Language, Phenomenological research, Philippines</t>
  </si>
  <si>
    <t>https://doi.org/10.51574/ijrer.v4i2.2851</t>
  </si>
  <si>
    <t>CE</t>
  </si>
  <si>
    <t>Development of a multi-commodity hammer mill for smallscale milling operation</t>
  </si>
  <si>
    <t>E N Dominguez*, C P Basquial</t>
  </si>
  <si>
    <t>IOP Conf. Series: Earth and Environmental Science 1477 (2025) 012051</t>
  </si>
  <si>
    <t>10.1088/1755-1315/1477/1/012051</t>
  </si>
  <si>
    <t>Semantics of Cardinal Directions in Benguet Cultural Practices</t>
  </si>
  <si>
    <t>John Rey Pelila, Von Ameri Escobar, Jessa Mariel Pilorin, Geraldine Wakat</t>
  </si>
  <si>
    <t>Scholar: Human Sciences, 17(1), 317-327.</t>
  </si>
  <si>
    <t>Linguistics, Culture, Meaning, Language Education, Philippines</t>
  </si>
  <si>
    <t>https://doi.org/10.14456/shserj.2025.30</t>
  </si>
  <si>
    <t>CHK</t>
  </si>
  <si>
    <t>Bridging gaps, wearable tech, apps and physical activity in older adults</t>
  </si>
  <si>
    <t>Charvet Caytap</t>
  </si>
  <si>
    <t>Scientific Journal of Sport and Performance, 4(4), 470–479.</t>
  </si>
  <si>
    <t>PrEAP model, Wearable trackers, Smart phone apps, Technology adoption, Healthcare, Aging</t>
  </si>
  <si>
    <t>https://doi.org/10.55860/WXFV1725</t>
  </si>
  <si>
    <t xml:space="preserve">Assessment of conservation benefits of ecotourism in secondary forest
ecosystems using PD-ZTCM-WTP in Mt Yangbew, Benguet, Philippines </t>
  </si>
  <si>
    <t>Allen Rey S. POTINGAN, Collen C. COIS, Remo M. BASILIO, Jones T. NAPALDET</t>
  </si>
  <si>
    <t>Taiwania 70(1): 156‒170</t>
  </si>
  <si>
    <t>plant diversity, quantification of ecotourism benefits, Benguet, Zone Travel Cost Method, willingness to pay</t>
  </si>
  <si>
    <t>https://www.researchgate.net/profile/Jones-Napaldet/publication/389008974_Assessment_of_conservation_benefits_of_ecotourism_in_secondary_forest_ecosystems_using_PD-ZTCM-WTP_in_Mt_Yangbew_Benguet_Philippines/links/67b00585461fb56424db8398/Assessment-of-conservation-benefits-of-ecotourism-in-secondary-forest-ecosystems-using-PD-ZTCM-WTP-in-Mt-Yangbew-Benguet-Philippines.pdf</t>
  </si>
  <si>
    <t>BSU-Buguias</t>
  </si>
  <si>
    <t>The Influence of Online Learning on the
Academic and Social Behaviors of College Students</t>
  </si>
  <si>
    <t>Gleemoore C. Makie, Mary Ruth V. Datario, Jocelda Nova C. Vidal</t>
  </si>
  <si>
    <t>Online learning; College students; Academic behavior, Social behavior</t>
  </si>
  <si>
    <t>https://www.researchgate.net/profile/Gleemoore-Makie/publication/390920397_The_influence_of_online_learning_on_the_academic_and_social_behaviors_of_college_students/links/68025810d1054b0207d5152f/The-Influence-of-Online-Learning-on-the-Academic-and-Social-Behaviors-of-College-Students.pdf</t>
  </si>
  <si>
    <t>Advancements in Chemiresistive and Electrochemical Sensing Materials for Detecting Volatile Organic Compounds in Potato and Tomato Plants</t>
  </si>
  <si>
    <t>Baba, T.; Janairo, L.G.; Maging, Novelyn.; Tañedo, H.S.; Concepcion, R., II; Magdaong, J.J.; Bantang, J.P.; Del-amen, J.; Culaba, A.</t>
  </si>
  <si>
    <t>AgriEngineering 2025, 7, 166.</t>
  </si>
  <si>
    <t>polymer sensor; hybrid material; precision agriculture; sustainable agriculture; volatile organic compounds; wearable sensor</t>
  </si>
  <si>
    <t>https://doi.org/10.3390/agriengineering7060166</t>
  </si>
  <si>
    <t>Rapid weight loss in combative sports</t>
  </si>
  <si>
    <t>Karn Jariya M. Amado</t>
  </si>
  <si>
    <t>Scientific Journal of Sport and Performance, 4(3), 466–469.</t>
  </si>
  <si>
    <t>RWL, Athletes, Sport medicine, Psychological effect, Physical activity psychology</t>
  </si>
  <si>
    <t>https://doi.org/10.55860/CTMQ9059</t>
  </si>
  <si>
    <t>Phenotypic Characterization and Correlation Analysis in Quinoa (Chenopodium quinoa Willd.) Entries Cultivated in Itogon and La Trinidad, Benguet</t>
  </si>
  <si>
    <t>Flori Joyce D. Cariño and Esther Josephine D. Sagalla</t>
  </si>
  <si>
    <t>Mountain Journal of Science and Interdisciplinary Research  vol. 85 no.1</t>
  </si>
  <si>
    <t>Chenopodium quinoa, correlation Analysis, phenotypic characterization</t>
  </si>
  <si>
    <t>http://portal.bsu.edu.ph:8083/index.php/BRJ/article/view/459</t>
  </si>
  <si>
    <t>Geographical Variation, Path Diagram, and Regression Tree of the Incidence and Severity of Potato Late Blight (Phytophthora infestans): The Obesrved Pattern in the Major Growing Areas in Benguet Province</t>
  </si>
  <si>
    <t>Han B. Bonoy and Precious M. Valentin</t>
  </si>
  <si>
    <t>Cluster analysis, path analysis, Cart model, disease tetrahedron, potato late blight</t>
  </si>
  <si>
    <t>http://portal.bsu.edu.ph:8083/index.php/BRJ/article/view/458</t>
  </si>
  <si>
    <t>NPRCRTC</t>
  </si>
  <si>
    <t>Impacts of Technology Interventions on Managing Fusarium Wilt in Sweetpotato in Bauko, Mountain Province</t>
  </si>
  <si>
    <t>Dalen T. Meldoz, Teresita S. Masangcay, Cynthia G. Kiswa, and Analiza V. Alzarate</t>
  </si>
  <si>
    <t>sweetpotato, tissue culture-derived plant, material, fusarium wilt</t>
  </si>
  <si>
    <t>http://portal.bsu.edu.ph:8083/index.php/BRJ/article/view/462</t>
  </si>
  <si>
    <t>HORTI/CA</t>
  </si>
  <si>
    <t xml:space="preserve">Fresh Pod Yield and Stability of NSIC-Approved Varieties of Pole Snap Bean (Phaseolus vulgaris (L.)) in Benguet </t>
  </si>
  <si>
    <t>Margie E. Bad-ey, Leoncia L. Tandang, Hector C. Gayomba, and Johnson G. Bagtila</t>
  </si>
  <si>
    <t>Pole Sap Bean, On-Farm Trial, Fresh Pod Yield, GxE Interaction, Stability</t>
  </si>
  <si>
    <t>https://doi.org/10.70884/mjsir.v85i1.456</t>
  </si>
  <si>
    <t>CVM</t>
  </si>
  <si>
    <t>Hygiene Knowledge,Attitudes, and Practices (KAP) of Retailers and their Association to E.coli Contamination in pork Sold in La Trinidad, Benguet</t>
  </si>
  <si>
    <t>Edlyn Mae N. Ciano</t>
  </si>
  <si>
    <t>KAP (Knowledge, Attitudes, and Practices), E. coli contamination, pork</t>
  </si>
  <si>
    <t>http://portal.bsu.edu.ph:8083/index.php/BRJ/article/view/457</t>
  </si>
  <si>
    <t>CIS</t>
  </si>
  <si>
    <t>Influences and Perceived Changes Caused by the Agricultural Radio Program to the Farmer Listeners in
Benguet, Philippines</t>
  </si>
  <si>
    <t>Nora C. Sagayo</t>
  </si>
  <si>
    <t>Agri-Pinoy Cordillera,
Agricultural radio program,
rural community,
Benguet,
Cordillera</t>
  </si>
  <si>
    <t>http://portal.bsu.edu.ph:8083/index.php/BRJ/article/view/460</t>
  </si>
  <si>
    <t>CF</t>
  </si>
  <si>
    <t>Agroforestry within a Limestone Forest in Tuba, Benguet, the Philippines, Conserved and Managed through Public-Private Partnership Reveals High Species Richness and Diversity</t>
  </si>
  <si>
    <t>Bernard Peter O. Daipanand Conrado C. Bao-idang</t>
  </si>
  <si>
    <t>Philippine Journal of science</t>
  </si>
  <si>
    <t>Clarivate (Web of Science - Zoological Records); Scopus from 2009 to present</t>
  </si>
  <si>
    <t>agroforestry, diversity, endemism, forest over limestone, public-private partnership,
species richness</t>
  </si>
  <si>
    <t>https://philjournalsci.dost.gov.ph/wp-content/uploads/2025/07/agroforestry-within-a-limestone-forest-in-Tuba-Benguet_.pdf</t>
  </si>
  <si>
    <t>CTE</t>
  </si>
  <si>
    <t>Factors Contributing to The Stress of The Science PreService Teachers at A State University in Northern, Philippines During The Neo- Normal</t>
  </si>
  <si>
    <t>CECILIA B. SAMONTE</t>
  </si>
  <si>
    <t>INTERNATIONAL JOURNAL OF ADVANCED MULTIDISCIPLINARY STUDIES</t>
  </si>
  <si>
    <t>open access peer reviewed</t>
  </si>
  <si>
    <t>Science pre-service teachers, factors contributing to stress, pre-service teaching,
neo- normal, pandemic</t>
  </si>
  <si>
    <t>https://www.ijams-bbp.net/wp-content/uploads/2025/07/6-IJAMS-JUNE-2025-334-348.pdf</t>
  </si>
  <si>
    <t>Working Capital Management of Cooperatives in Selected Municipalities in Benguet</t>
  </si>
  <si>
    <t>Joe S. Pelchona, David Joseph L. Bognadon</t>
  </si>
  <si>
    <t>International Journal for Multidisciplinary Research</t>
  </si>
  <si>
    <t>Working Capital, Multipurpose Cooperatives, Financial Position, Financial Performance</t>
  </si>
  <si>
    <t>https://www.researchgate.net/profile/Joe-Pelchona/publication/390228642_Working_Capital_Management_of_Cooperatives_in_Selected_Municipalities_in_Benguet/links/68734b48dd6b84447df831c4/Working-Capital-Management-of-Cooperatives-in-Selected-Municipalities-in-Benguet.pdf</t>
  </si>
  <si>
    <t>WHY DO CAFES NEED TO B.I.T.E. THEIR NAMES AND NOT
FORGET TO S.I.P.?</t>
  </si>
  <si>
    <t>Ezra Isaiah Kayat Balawag, John Rey Osben Pelila</t>
  </si>
  <si>
    <t>E-Journal of English Language &amp; Literature</t>
  </si>
  <si>
    <t>Case Study, Toponomastics, English-Named Cafes, Philippines</t>
  </si>
  <si>
    <t>https://www.researchgate.net/profile/John-Rey-Pelila/publication/390761716_Why_Do_Cafes_Need_to_BITE_Their_Names_and_Not_Forget_to_SIP/links/67fd320e60241d51400c25e8/Why-Do-Cafes-Need-to-BITE-Their-Names-and-Not-Forget-to-SIP.pdf</t>
  </si>
  <si>
    <t>Kankanaey over +me: A dyadic comparison of 1996 and 2023
transla+ons</t>
  </si>
  <si>
    <t>John Rey Osben Pelila</t>
  </si>
  <si>
    <t xml:space="preserve">JOURNAL OF LANGUAGE AND CULTURE </t>
  </si>
  <si>
    <t>linguistic variations, diachronic change, lexical comparison, Kankanaey language, Philippines</t>
  </si>
  <si>
    <t>https://www.researchgate.net/profile/John-Rey-Pelila/publication/393288714_Kankanaey_over_time_A_dyadic_comparison_of_1966_and_2023_translations/links/6865348f39c3583512061757/Kankanaey-over-time-A-dyadic-comparison-of-1966-and-2023-translations.pdf</t>
  </si>
  <si>
    <t>Teaching and Learning English Grammar:Opportunities and Challenges in ASEAN Countries</t>
  </si>
  <si>
    <t>Merigilda C. Cando, John Rey O. Pelila, Keivy Xyrelle G. Manogan, Ivy Joy L. Anagara, Angel Mae T. Pablito</t>
  </si>
  <si>
    <t>JOURNAL OF MULTIDISCIPLINARY RESEARCH AND DEVELOPMENT| ISSN 3031-9390Vol. 2, No. 2, 2025, 131-142</t>
  </si>
  <si>
    <t>Systematic literature review,English grammar,English proficiency,Undergraduate,ASEAN</t>
  </si>
  <si>
    <t>https://doi.org/10.56916/jmrd.v2i2.1120</t>
  </si>
  <si>
    <t>Enhancing Electoral Integrity: A Comparative Analysis of
Electoral Processes in Selected Provinces of Cordillera
Administrative Region (CAR), Philippines</t>
  </si>
  <si>
    <t>Julie M. Binaldo-Velasco</t>
  </si>
  <si>
    <t xml:space="preserve">Social Science Lens: A World Journal of Human Dynamics and Social Relations </t>
  </si>
  <si>
    <t>Punctuated Equilibrium Theory; Electoral Practices; Peaceful Elections; Cordillera Administrative
Region, Voter Awareness</t>
  </si>
  <si>
    <t>https://doi.org/10.62718/vmca.ssl-wjhdsr.5.1.SC-0525-023</t>
  </si>
  <si>
    <t>The Effects of Chemically Modified Biochar on Biomethane
Production from Glucose and Sugar Beet Pulp</t>
  </si>
  <si>
    <t>Julia K. Nowak, Joanna Rosik, Kacper Szadzi ´nski, Marvin T. Valentin, Katarzyna E. Kosiorowska,
Andrzej Białowiec, Sylwia Stegenta-D ˛abrowska and Kacper Swiechowski</t>
  </si>
  <si>
    <t>Materials 2025, 18,</t>
  </si>
  <si>
    <t>WoS (Science Citation Index Expanded)</t>
  </si>
  <si>
    <t>biochar; chemically activated biochar; anaerobic digestion; sugar beet pulp;
glucose</t>
  </si>
  <si>
    <t>https://www.researchgate.net/profile/Kacper-Swiechowski/publication/390412773_The_Effects_of_Chemically_Modified_Biochar_on_Biomethane_Production_from_Glucose_and_Sugar_Beet_Pulp/links/67ecf81049e91c0fead592a1/The-Effects-of-Chemically-Modified-Biochar-on-Biomethane-Production-from-Glucose-and-Sugar-Beet-Pulp.pdf</t>
  </si>
  <si>
    <t>Productivity of auxin-treated sugarcane bud chip under field conditions</t>
  </si>
  <si>
    <t>Darwin M. Cacal, Janet P. Pablo, Darwin A. Basquial, Esther Josephine D. Sagalla, Leila Mary A. Ayban</t>
  </si>
  <si>
    <t>THAI JOURNAL OFAGRICULTURAL SCIENCEVol.58 No.2 April-June 2025</t>
  </si>
  <si>
    <t xml:space="preserve">Auxin, Bud chip, Internodes, Naphthaleneacetic acid, Sugarcane
</t>
  </si>
  <si>
    <t>https://li01.tci-thaijo.org/index.php/TJAS</t>
  </si>
  <si>
    <t>July to Dec 2025</t>
  </si>
  <si>
    <t>Evaluating the Project Research and
Extension (REx) Initiative of a Philippine
State University: Application of a
Simplified Qualitative Impact Protocol (SQuIP)</t>
  </si>
  <si>
    <t>Apler J. Bansiong, Dolores E. Alawas, Olga B. Betudio, Sarah M. Palaw-ay, Stephen B.
Bulalin, and Divina M. Yango</t>
  </si>
  <si>
    <t>International Journal of Science and Management Studies</t>
  </si>
  <si>
    <t>Impact assessment, qualitative impact protocol (QuIP), extension, Project research and extension</t>
  </si>
  <si>
    <t>https://www.researchgate.net/profile/Apler-Bansiong/publication/393791128_International_Journal_of_Science_and_Management_Studies_IJSMS_Evaluating_the_Project_Research_and_Extension_REx_Initiative_of_a_Philippine_State_University_Application_of_a_Simplified_Qualitative_Impa/links/687a53a84f72461c714f43df/International-Journal-of-Science-and-Management-Studies-IJSMS-Evaluating-the-Project-Research-and-Extension-REx-Initiative-of-a-Philippine-State-University-Application-of-a-Simplified-Qualitative-Impa.pdf</t>
  </si>
  <si>
    <t>Biological Control Potential of Philippine Entomopathogenic
Nematodes against Coffee Berry Borer, Hypothenemus hampei
Ferrari (Coleoptera: Curculionidae)</t>
  </si>
  <si>
    <t>Nora Hill G. Evasco, Romnick A. Latina, Sheryl A. Yap,
Mark Dondi M. Arboleda, and Barbara L. Caoili</t>
  </si>
  <si>
    <t>Coffea spp., Heterorhabditis indica, Hypothenemus hampei, LC50, LT50, pest management,
Steinernema abbasi</t>
  </si>
  <si>
    <t>https://philjournalsci.dost.gov.ph/wp-content/uploads/2025/08/biological-control-potential-of-the-Phil-entomopathogenic-nematodes-coffee-berry-borer_-1.pdf</t>
  </si>
  <si>
    <t>Organophosphate Degradation and Plant GrowthPromoting Activity of Soil Bacteria Isolated from
Vegetable Farms in Benguet, Philippines</t>
  </si>
  <si>
    <t>Jayson D. Komicho and Sherlyn C. Tipayno</t>
  </si>
  <si>
    <t>Journal of Pure and Applied Microbiology</t>
  </si>
  <si>
    <t>Plant Growth-promoting Bacteria (PGPB), Biodegradation, Organophosphate Pesticides, Soil Microbial
Diversity, Bioremediation, Chlorpyrifos</t>
  </si>
  <si>
    <t>10.22207/JPAM.19.3.46</t>
  </si>
  <si>
    <t>CNS &amp; CSS</t>
  </si>
  <si>
    <t>Exploring the connections between traditional ecological knowledge, ecosystem services, and agroecosystem-based livelihoods in the Cordillera Region, Northern Philippines</t>
  </si>
  <si>
    <t xml:space="preserve">Joyce N. Paing, Mari Grace M. Galino &amp; Stanley F. Anongos Jr. </t>
  </si>
  <si>
    <t xml:space="preserve"> Tropical Ecology </t>
  </si>
  <si>
    <t>Agroecosystems
Conservation
Cordillera
Ethnic groups
Plural values</t>
  </si>
  <si>
    <t>https://doi.org/10.1007/s42965-025-00393-w</t>
  </si>
  <si>
    <t>Development of a Battery-Operated Liquid Fertilizer Applicator with an Electronically Controlled Metering Device</t>
  </si>
  <si>
    <t>Kurt B. Abeya, Dellor D. Ngalides, Erickson N. Dominguez*  and John James F. Malamug</t>
  </si>
  <si>
    <t>Mindanao Journal of Science and Technology</t>
  </si>
  <si>
    <t>fertilizer applicator, fertilizer injector, liquid fertilizer, microcontroller, precision agriculture</t>
  </si>
  <si>
    <t>https://doi.org/10.61310/mjst.v23i2.2454</t>
  </si>
  <si>
    <t>Intentional learning styles and practices of parents towards their
children: Strengthening discipline for language learning</t>
  </si>
  <si>
    <t>Jason V. Chavez, Joseph B. Quinto, Pearly Jade E. Samilo, Neña Vanessa A. Cabiles,
Jhordan T. Cuilan, Abundio C. Miralles, Maria Lady Sol A. Suazo, Rolly G. Salvaleon, Annie Y. Samarca, Josephine L. Cruz</t>
  </si>
  <si>
    <t>Environment and Social Psychology (2025) Volume 10 Issue 8</t>
  </si>
  <si>
    <t>early education; English language learning; learning discipline; parental involvement</t>
  </si>
  <si>
    <t>https://www.researchgate.net/profile/Joseph-Quinto/publication/394774418_Intentional_learning_styles_and_practices_of_parents_towards_their_children_Strengthening_discipline_for_language_learning/links/68aebb761bee4d42a24341b8/Intentional-learning-styles-and-practices-of-parents-towards-their-children-Strengthening-discipline-for-language-learning.pdf</t>
  </si>
  <si>
    <t>Woody plant composition along Ulot River, Samar Island Natural Park,
Philippines: Community uses and conservation concerns</t>
  </si>
  <si>
    <t>ANNE FRANCES V. BUHAY, MARIA CELESTE N. BANATICLA-HILARIO, INOCENCIO E. BUOT JR,
JONES T. NAPALDET, LAILANI MASUNGSONG, MARNE ORIGENES, NOBA HILVANO, EDELYN ECHAPARE, DIANE SHANE BALINDO</t>
  </si>
  <si>
    <t>B IO D I V E R S I T AS 26 (7): 3081-3103, July 2025</t>
  </si>
  <si>
    <t>Conservation, plant diversity, riparian ecosystem, Samar Island Natural Park, Ulot River</t>
  </si>
  <si>
    <t>https://www.researchgate.net/profile/Jones-Napaldet/publication/395181724_Woody_plant_composition_along_Ulot_River_Samar_Island_Natural_Park_Philippines_Community_uses_and_conservation_concerns/links/68ba5a56e69154767c2a0ac7/Woody-plant-composition-along-Ulot-River-Samar-Island-Natural-Park-Philippines-Community-uses-and-conservation-concerns.pdf</t>
  </si>
  <si>
    <t>Perspectives on Superiority Humor towards Grammatical Errors</t>
  </si>
  <si>
    <t xml:space="preserve">Haydee G. Adalia, Analyn C. Españo, Ma. Theresa L. Eustaquio, Joseph B. Quinto,
Pearly Jade E. Samilo, Neña Vanessa A. Cabiles, Nurmini U. Supian, Magna Anissa A. Hayudini, Fahadz M. Lulu, Jason V. Chavez </t>
  </si>
  <si>
    <t>Forum for Linguistic Studies | Volume 07 | Issue 08 | August 2025</t>
  </si>
  <si>
    <t>Grammatical Errors; Grammar Learning; Language Learning; Social Interaction; Superiority Humor</t>
  </si>
  <si>
    <t>https://journals.bilpubgroup.com/index.php/fls</t>
  </si>
  <si>
    <t>CHOOSING ENGLISH AS A DOMINANT LANGUAGE AMONG
INDIGENOUS YOUTH: CULTURAL BOON OR IDENTITY BANE?</t>
  </si>
  <si>
    <t>Liaa Eve Dalilis Tacio; John Rey Osben Pelila</t>
  </si>
  <si>
    <t>Lingua Cultura, 19(1), July 2025, 75-83</t>
  </si>
  <si>
    <t xml:space="preserve">phenomenological research, undergraduate students, Indigenous people, family language policy,Philippines </t>
  </si>
  <si>
    <t>https://www.researchgate.net/profile/John-Rey-Pelila/publication/394846519_CHOOSING_ENGLISH_AS_A_DOMINANT_LANGUAGE_AMONG_INDIGENOUS_YOUTH_CULTURAL_BOON_OR_IDENTITY_BANE/links/68a88d4a1bee4d42a242110e/Choosing-English-as-a-Dominant-Language-Among-Indigenous-Youth-Cultural-Boon-or-Identity-Bane.pdf</t>
  </si>
  <si>
    <t>English Language Confidence and Self-Presentation: Assessing
Employability Appeal to Hiring Managers in the Tourism Industry</t>
  </si>
  <si>
    <t>Analyn C. Españo, Haydee G. Adalia, Joseph B. Quinto, Jhordan Cuilan, Benigno A. Garil, Angeline L. Ramos, Jason V. Chavez, Fahadz M. Lulu</t>
  </si>
  <si>
    <t>Forum for Linguistic Studies | Volume 07 | Issue 07 | July 2025</t>
  </si>
  <si>
    <t>Employability; English Language; Language Confidence; Tourism Industry</t>
  </si>
  <si>
    <t>https://www.researchgate.net/profile/Joseph-Quinto/publication/393800006_English_Language_Confidence_and_Self-Presentation_Assessing_Employability_Appeal_to_Hiring_Managers_in_the_Tourism_Industry/links/687b815f7d202419e84d611e/English-Language-Confidence-and-Self-Presentation-Assessing-Employability-Appeal-to-Hiring-Managers-in-the-Tourism-Industry.pdf</t>
  </si>
  <si>
    <t>A qualitative study on the effects of self-doubt on public speaking and
audience reception among senior high school students</t>
  </si>
  <si>
    <t>Erwin B. Berry, Jason V. Chavez, Bernadette R. Gumpal, Kristopher R. Lopez, Joseph B. Quinto, Shyla O.
Moreno, Jennifer M. Montero, James Q. Grefalde, Rudyard Ryann T. Verano, Sar-Ana M. Abdurasul</t>
  </si>
  <si>
    <t>Self-doubt; public speaking; student anxiety; communication</t>
  </si>
  <si>
    <t>https://www.researchgate.net/profile/Joseph-Quinto/publication/395071711_A_qualitative_study_on_the_effects_of_self-doubt_on_public_speaking_and_audience_reception_among_senior_high_school_students/links/68b2cda67984e374acec743c/A-qualitative-study-on-the-effects-of-self-doubt-on-public-speaking-and-audience-reception-among-senior-high-school-students.pdf</t>
  </si>
  <si>
    <t>Computing Technologies for Self-Directed Teaching and Learning: Opportunities, Problems, and Coping Mechanisms</t>
  </si>
  <si>
    <t>Elizabeth Lascano and Divina Yango</t>
  </si>
  <si>
    <t>Diversitas Journal</t>
  </si>
  <si>
    <t>Clarivate (Web of Science - Zoological Records)</t>
  </si>
  <si>
    <t>Computational Technologies, Teaching, Learning, Opportunities and Problems, Coping Strategies</t>
  </si>
  <si>
    <t>https://doi.org/10.48017/dj.v10i3.3388</t>
  </si>
  <si>
    <t>ULIS</t>
  </si>
  <si>
    <t>The Future of Serials Section: An Analysis of Online Forum Discussions</t>
  </si>
  <si>
    <t>Daniel S. Balbin Jr.</t>
  </si>
  <si>
    <t xml:space="preserve"> The Serials Librarian</t>
  </si>
  <si>
    <t>Serials section management, online forums, social media platforms</t>
  </si>
  <si>
    <t>https://doi.org/10.1080/0361526X.2025.2552679</t>
  </si>
  <si>
    <t xml:space="preserve">Riparian floristic diversity and carbon stock assessment of an urban
landscape: The case of Marjoya River in Batangas City, Philippines </t>
  </si>
  <si>
    <t>Johndale Rein T. BULLONG, Marvin P. POCYOY, Thu Zar KYAW, Julienne Maria Undine Paz H. QUIMIO, Evaristo Niño T. CANDO III, Jones T. NAPALDET</t>
  </si>
  <si>
    <t>Taiwania 70(3): 540‒559, 2025</t>
  </si>
  <si>
    <t>biodiversity indices, carbon, mangroves, riparian, urban forest</t>
  </si>
  <si>
    <t>https://www.researchgate.net/profile/Evaristo-Nino-Cando-Iii/publication/393787930_Riparian_floristic_diversity_and_carbon_stock_assessment_of_an_urban_landscape_The_case_of_Marjoya_River_in_Batangas_City_Philippines/links/687a5ff47d202419e84d3dca/Riparian-floristic-diversity-and-carbon-stock-assessment-of-an-urban-landscape-The-case-of-Marjoya-River-in-Batangas-City-Philippines.pdf</t>
  </si>
  <si>
    <t>Bokod-Campus</t>
  </si>
  <si>
    <t>From Confusion to Confidence:A Narrative Inquiry into ESP Students’ Learning through Google Sites E-Portfolios</t>
  </si>
  <si>
    <t>Salasiah Ammade, Nurhasanah, Shakira B. Herman</t>
  </si>
  <si>
    <t>EDUVELOP JOURNAL OF ENGLISH EDUCATION AND DEVELOPMENT</t>
  </si>
  <si>
    <t xml:space="preserve">E-portfolio;   Narrative   Inquiry;   ESP;   Students   Confidence;   Pedagogical   Implications </t>
  </si>
  <si>
    <t>http://ojs.unsulbar.ac.id/index.php/eduvelop/article/view/5424/2328</t>
  </si>
  <si>
    <t>Gender Treatment in Philippine Commercial Elementary Science Textbooks</t>
  </si>
  <si>
    <t>Apler J. Bansiong, Emill M. Kisim, Terrilyn G. Dontogan, Albert S. Bolcio Jr.</t>
  </si>
  <si>
    <t>MIER Journal of Educational Studies Trends and Practices, 15(2), 326–350.</t>
  </si>
  <si>
    <t>Gender-responsive pedagogy, Liberal feminist theory, Gender-bias, Sience textbooks, Elementary Level</t>
  </si>
  <si>
    <t>https://doi.org/10.52634/mier/2025/v15/i2/2869</t>
  </si>
  <si>
    <t>Teacher Education Graduates' Workplace Behaviors: An Employer Feedback-Generated Taxonomy</t>
  </si>
  <si>
    <t>Esper Lawig Feliciano</t>
  </si>
  <si>
    <t>Journal Of Curriculum Studies Research, 7(2), 443-465.</t>
  </si>
  <si>
    <t>Teacher education
employer feedback
workplace behavior
task and contextual performance
Philippine Professional Standards for Teachers
disposition-focused development</t>
  </si>
  <si>
    <t>https://doi.org/10.46303/jcsr.2025.29</t>
  </si>
  <si>
    <t>https://www.scopus.com/sourceid/21101155951</t>
  </si>
  <si>
    <t>CN</t>
  </si>
  <si>
    <t>A 24-Hour Duty Time-Use Analysis: How Much Time Nursing Students Spent Before, During and After Pediatric Clinical Duty.</t>
  </si>
  <si>
    <t>Jude L. Tayaben</t>
  </si>
  <si>
    <t>Studies in health technology and informatics</t>
  </si>
  <si>
    <t>EMR; nursing informatics; pedagogy; time-use analysis</t>
  </si>
  <si>
    <t>https://doi.org/10.3233/SHTI251162</t>
  </si>
  <si>
    <t xml:space="preserve">
Prepared by:                                                                                                  Noted by:
                        NOEL A. LENGUAJE, REPO Staff                                                            CHERYLL C. LAUNIO, REPO Director</t>
  </si>
  <si>
    <t>Meaningful Use of Social Media, Information Technology, and Applications in Nursing Education: A Multi-Site, Cross-Sectional Study Among Senior Nursing Students</t>
  </si>
  <si>
    <t>Jude L Tayaben</t>
  </si>
  <si>
    <t>Book</t>
  </si>
  <si>
    <t>Studies in Health Technology and Informatics</t>
  </si>
  <si>
    <t>Nursing education; nursing informatics; pedagogy</t>
  </si>
  <si>
    <t>https://ebooks.iospress.nl/doi/10.3233/SHTI251344</t>
  </si>
  <si>
    <t>A 24-Hour Duty Time-Use Analysis: How Much Time Nursing Students Spent Before, During and After Pediatric Clinical Duty</t>
  </si>
  <si>
    <t>https://ebooks.iospress.nl/doi/10.3233/SHTI251162</t>
  </si>
  <si>
    <t>Jan to June 2024</t>
  </si>
  <si>
    <t>Message patterns through discourse analysis on the concept of apology and forgiveness during Ramadan among college students practicing Islam</t>
  </si>
  <si>
    <t>Jason V. Chavez, Jhordan T. Cuilan, Haydee G. Adalia</t>
  </si>
  <si>
    <t>Environment and Social Psychology</t>
  </si>
  <si>
    <t>Scopus 2019 to present</t>
  </si>
  <si>
    <t xml:space="preserve">communication; apologizing; forgiveness; Islamic beliefs; Ramadan
</t>
  </si>
  <si>
    <t>https://esp.apacsci.com/index.php/esp/article/view/2043</t>
  </si>
  <si>
    <t>https://scholar.google.com/citations?view_op=view_citation&amp;hl=en&amp;user=Y5Ot_3wAAAAJ&amp;citation_for_view=Y5Ot_3wAAAAJ:IjCSPb-OGe4C</t>
  </si>
  <si>
    <t>Gender mainstreaming campaign as a casualty of the online gender-based humor: A discourse analysis</t>
  </si>
  <si>
    <t>Jason V. Chavez, Jhordan T. Cuilan</t>
  </si>
  <si>
    <t>cultivation; discourse markers; gender-based humor; gender mainstreaming; message patterns; social media</t>
  </si>
  <si>
    <t>https://esp.apacsci.com/index.php/esp/article/view/2044</t>
  </si>
  <si>
    <t>https://scholar.google.com/citations?view_op=view_citation&amp;hl=en&amp;user=Y5Ot_3wAAAAJ&amp;citation_for_view=Y5Ot_3wAAAAJ:UeHWp8X0CEIC</t>
  </si>
  <si>
    <t>CHET/FSRIC</t>
  </si>
  <si>
    <t>Phenolic-rich lees from Philippine rice wine (tapuy) increases Caenorhabditis elegans lifespan in spite of having low antioxidant activity</t>
  </si>
  <si>
    <t>Sean Philippe L. Chua, Lesley Dale Umayat &amp; Paul Mark B. Medina</t>
  </si>
  <si>
    <t>Food Production, Processing and Nutrition 6:1, 1-12.</t>
  </si>
  <si>
    <t xml:space="preserve">Scopus 2019 to present; Clarivate (Emerging Sources Citation Index)  </t>
  </si>
  <si>
    <t>Rice wine, Tapuy, Lees
Lifespan, Caenorhabditis elegans, Fermented food</t>
  </si>
  <si>
    <t>https://doi.org/10.1186/s43014-023-00181-w</t>
  </si>
  <si>
    <t>https://scholar.google.com/citations?view_op=view_citation&amp;hl=en&amp;user=dVCbH7cAAAAJ&amp;cstart=20&amp;pagesize=80&amp;citation_for_view=dVCbH7cAAAAJ:epqYDVWIO7EC</t>
  </si>
  <si>
    <t>Pathways to a Succesful Career: Unveiling the PostGraduate Journey – A Tracer Study</t>
  </si>
  <si>
    <t>Imelda G Parcasio, Russell B Dolendo, Brenda A Langaoen, Percyveranda A Lubrica</t>
  </si>
  <si>
    <t>Social Sciences, Humanities and Education Journal</t>
  </si>
  <si>
    <t>Open Access Peer-reviewed</t>
  </si>
  <si>
    <t>Educational Management, Employment, Professional Growth, Curricular Activities</t>
  </si>
  <si>
    <t>http://doi.org/10.25273/she.v5i1.19223</t>
  </si>
  <si>
    <t>https://scholar.google.com/citations?view_op=view_citation&amp;hl=en&amp;user=WHPuq_QAAAAJ&amp;citation_for_view=WHPuq_QAAAAJ:Y0pCki6q_DkC</t>
  </si>
  <si>
    <t>Impacts of the COVID-19 Pandemic on Livelihood Assets of Smallholder Agroforestry Farmers in Selected Upland Farming Communities in the Philippines</t>
  </si>
  <si>
    <t>Leila Landicho, Kenneth A. Laruan,  Mary Anne G. Abadillos and Romnick S. Pascua</t>
  </si>
  <si>
    <t xml:space="preserve">Forest and Society, Vol. 8 No. 1 </t>
  </si>
  <si>
    <t>Scopus 2017 to present; Clarivate (ESCI)</t>
  </si>
  <si>
    <t>Smallholder, COVID-19, Pandemic, Agroforestry, Philippines</t>
  </si>
  <si>
    <t>https://doi.org/10.24259/fs.v8i1.28095</t>
  </si>
  <si>
    <t>https://scholar.google.com/citations?view_op=view_citation&amp;hl=en&amp;user=PyO6wrQAAAAJ&amp;citation_for_view=PyO6wrQAAAAJ:Y0pCki6q_DkC</t>
  </si>
  <si>
    <t>Generating Wall-to-Wall Canopy Height Information from Discrete Data Provided by Spaceborne LiDAR System</t>
  </si>
  <si>
    <t>Nova D. Doyog, Chinsu Lin</t>
  </si>
  <si>
    <t xml:space="preserve">Forest Volume 15 No. 3, 482 </t>
  </si>
  <si>
    <t>Scopus 2010 to Present; Clarivate (Science Citation Index Expanded)</t>
  </si>
  <si>
    <t>integrated RS- and ML-based canopy height modeling; GEDI; ICESat-2; SAR; challenges in canopy height modeling</t>
  </si>
  <si>
    <t>https://doi.org/10.3390/f15030482</t>
  </si>
  <si>
    <t>https://scholar.google.com/citations?view_op=view_citation&amp;hl=en&amp;user=-WSRHRgAAAAJ&amp;citation_for_view=-WSRHRgAAAAJ:UebtZRa9Y70C</t>
  </si>
  <si>
    <t xml:space="preserve">Information Sources Preferred by Students in Academic Writing </t>
  </si>
  <si>
    <t>Noel W. Cabfilan</t>
  </si>
  <si>
    <t>DESIDOC Journal of Library &amp; Information Technology, Vol. 44, No. 1,</t>
  </si>
  <si>
    <t>Scopus from 2012 to Present; Clarivate (Emerging Sources Citation Index)</t>
  </si>
  <si>
    <t>Information sources; Library resources; Online resources; Print resources</t>
  </si>
  <si>
    <t>https://doi.org/10.14429/djlit.44.1.18909</t>
  </si>
  <si>
    <t>https://scholar.google.com/citations?view_op=view_citation&amp;hl=en&amp;user=eRYjj_cAAAAJ&amp;citation_for_view=eRYjj_cAAAAJ:2osOgNQ5qMEC</t>
  </si>
  <si>
    <t>Development of endemicity and conservation importance indices for tropical forests and the floral diversity assessment of Mt. Natoo in Benguet, Philippines</t>
  </si>
  <si>
    <t>Johndale Rein T. Bullong, Jim P. Silverio, Joanna I. Alafag, Maricel A. Guron &amp; Jones T. Napaldet</t>
  </si>
  <si>
    <t>Journal of Mountain Science Volume 21, pages 428–446</t>
  </si>
  <si>
    <t>Scopus from 2007 to Present/Clarivate (SCIE)</t>
  </si>
  <si>
    <t xml:space="preserve">Endemicity index,
Conservation importance index,
Cordillera Central Range,
Floristic element,
Jaccard Index of Similarity,
</t>
  </si>
  <si>
    <t>https://doi.org/10.1007/s11629-023-8387-9</t>
  </si>
  <si>
    <t>https://scholar.google.com/citations?view_op=view_citation&amp;hl=en&amp;user=SCSvSk0AAAAJ&amp;citation_for_view=SCSvSk0AAAAJ:2osOgNQ5qMEC</t>
  </si>
  <si>
    <t>Application of microorganisms for cross-protection against biotic and metal-induced oxidative stresses in plants</t>
  </si>
  <si>
    <t>Sherlyn C. Tipayno</t>
  </si>
  <si>
    <t>Chapter in a Book</t>
  </si>
  <si>
    <t>Beneficial Microbes for Sustainable Agriculture Under Stress Conditions
Functional Traits and Regulation
2024, Pages 201-213</t>
  </si>
  <si>
    <t>https://doi.org/10.1016/B978-0-443-13193-6.00011-7</t>
  </si>
  <si>
    <t>https://scholar.google.com/citations?view_op=view_citation&amp;hl=en&amp;user=mRtnrlsAAAAJ&amp;citation_for_view=mRtnrlsAAAAJ:7PzlFSSx8tAC</t>
  </si>
  <si>
    <t>Investigating The Relationship Between Leadership, Self-Efficacy, And Research Productivity In Educational Settings</t>
  </si>
  <si>
    <t>Fahad A. Salendab, Peter B. Rama Jr, Robert F. Galindez, Dr. Cinder Dianne L. Tabiolo, Norman P. Romasanta, Adamson N. Labi, Leonilo B. Capulso</t>
  </si>
  <si>
    <t>Migration Letters Volume: 21, No: S3 (2024), pp. 856-873</t>
  </si>
  <si>
    <t>Open access peer-reviewed                   Scopus from 2011 to 2022 (coverage discontinued in Scopus) not in Clarivate database</t>
  </si>
  <si>
    <t>Leadership characteristics, Research self-efficacy, Research productivity, Educational settings, Philippines</t>
  </si>
  <si>
    <t>https://migrationletters.com/index.php/ml/article/view/6869/4558</t>
  </si>
  <si>
    <t>LEADERSHIP STYLE PREFERENCES OF BSU-BUGUIAS CAMPUS
FACULTY AND STAFF</t>
  </si>
  <si>
    <t>Elizabeth M. Bay-an, Jayne B. Miranda, Princess Irene B. Patacsil, Lemar A. Ablasa</t>
  </si>
  <si>
    <t xml:space="preserve">Ignatian International Journal for Multidisciplinary Research Vol 2 No 3 </t>
  </si>
  <si>
    <t>leadership style, preferences, Laissez-faire, Democratic, Transactional</t>
  </si>
  <si>
    <t>https://doi.org/10.5281/zenodo.10890234</t>
  </si>
  <si>
    <t>COPING MECHANISMS IN THE NEW MODALITIES OF TEACHING IN PUBLIC
ELEMENTARY SCHOOLS</t>
  </si>
  <si>
    <t>Lemar A. Ablasa and Genevieve N. Olban</t>
  </si>
  <si>
    <t>Ignatian International Journal for Multidisciplinary Research Vol 2 No 2</t>
  </si>
  <si>
    <t>Innovation, platforms, mutual learning, standard hygiene, cognitive
appraisal, challenges, stressful job</t>
  </si>
  <si>
    <t>https://doi.org/10.5281/zenodo.10701774</t>
  </si>
  <si>
    <t>EFFECTIVE APPROACHES EMPLOYED BY ELEMENTARY TEACHERS IN
CHRISTIAN SCHOOLS</t>
  </si>
  <si>
    <t>Lemar A. Ablasa, Janice O. Bagano</t>
  </si>
  <si>
    <t>Best practices, strategies, differentiated instruction, factors, controllable,
physical stamina</t>
  </si>
  <si>
    <t>https://doi.org/10.5281/zenodo.10719955</t>
  </si>
  <si>
    <t>PARENTS LIVED EXPERIENCES AS STUDY BUDDY OF LEARNERS
IN THE NEW NORMAL</t>
  </si>
  <si>
    <t>Lemar A. Ablasa, Janice K. Bagano and Flordeliza D. De Guzman</t>
  </si>
  <si>
    <t>COVID-19 pandemic, parental skills, guiding time learning moments, study buddy, roles, formal education</t>
  </si>
  <si>
    <t>https://doi.org/10.5281/zenodo.10781887</t>
  </si>
  <si>
    <t>BSU-Bokod</t>
  </si>
  <si>
    <t>Dissemination of the Vision, Mission, Goals, and Objectives of Urdaneta City
University: Ethical Implications to Integrity, Teamwork, Competence and
Transcendence</t>
  </si>
  <si>
    <t>International Journal Of Empirical Research Methods Volume 2, Issue 1, PP: 53-71</t>
  </si>
  <si>
    <t>Extent, Dissemination, Vision, Mission, Goal, Objectives</t>
  </si>
  <si>
    <t>https://www.guinnesspress.org/assets/articles/pdf/ijerm-v2-5-52471-Gleemoore-C.-Makie.pdf</t>
  </si>
  <si>
    <t>A SCOPING REVIEW OF LANGUAGE PROGRAMS AND POLICIES IN ASEAN COUNTRIES</t>
  </si>
  <si>
    <t>Alexee Jaezhelle C. Pugong, John Rey Osben Pelila, Matin Evony P. Moling, Jocel T. Dolo, Norhana A. Usman</t>
  </si>
  <si>
    <t>Indonesian Journal of Research and Educational Review Volume 3, No. 2, 2024, pp 82-102</t>
  </si>
  <si>
    <t>ASEAN Countries; Languge; Programs and Policies; Scoping Review</t>
  </si>
  <si>
    <t>https://doi.org/10.51574/ijrer.v3i2.1181</t>
  </si>
  <si>
    <t>https://scholar.google.com/citations?view_op=view_citation&amp;hl=en&amp;user=mi5aC-4AAAAJ&amp;citation_for_view=mi5aC-4AAAAJ:W7OEmFMy1HYC</t>
  </si>
  <si>
    <t>Impact of using glucose as a sole carbon source to analyze the effect of biochar on the kinetics of biomethane production</t>
  </si>
  <si>
    <t>Valentin, M.T., Białowiec, A</t>
  </si>
  <si>
    <t>Scientific Reports</t>
  </si>
  <si>
    <t>Clarivate (Web of Science -SCIE); Scopus from 2011 to present</t>
  </si>
  <si>
    <t>Biochar, Glucose, Kinetics, Digestion, Biomethane</t>
  </si>
  <si>
    <t>https://doi.org/10.1038/s41598-024-59313-y</t>
  </si>
  <si>
    <t>https://scholar.google.com/citations?view_op=view_citation&amp;hl=en&amp;user=8_fUSUcAAAAJ&amp;citation_for_view=8_fUSUcAAAAJ:0EnyYjriUFMC</t>
  </si>
  <si>
    <t>Poetic Justice, Love, and Womanhood</t>
  </si>
  <si>
    <t>Gleemore Makie, Christopher Ryan Maboloc</t>
  </si>
  <si>
    <t>Social Ethics Society Journal of Applied Philosophy
Special Issue, February 2024, 280-291</t>
  </si>
  <si>
    <t>Radicalism; Rodrigo Duterte; Poetry, Ideal Love; Women</t>
  </si>
  <si>
    <t>https://ses-journal.com/wp-content/uploads/2024/03/SES-Journal_Special-Issue_Feb-2024_Article-13_final-1.pdf</t>
  </si>
  <si>
    <t>https://scholar.google.com/citations?view_op=view_citation&amp;hl=en&amp;user=GaRs-FgAAAAJ&amp;cstart=20&amp;pagesize=80&amp;citation_for_view=GaRs-FgAAAAJ:uWQEDVKXjbEC</t>
  </si>
  <si>
    <t>Pinoylish: The Awareness and Notions of University Students in Northern Luzon</t>
  </si>
  <si>
    <t>TEFLIN Journal, Volume 35, Number 1, 2024</t>
  </si>
  <si>
    <t>ASEAN Citation Index but articles uploaded until 2022 only            Scopus from 2018 to 2023 only</t>
  </si>
  <si>
    <t>English language teaching, Philippine English, Pinoylish, pluricentric model</t>
  </si>
  <si>
    <t xml:space="preserve">http://dx.doi.org/10.15639/teflinjournal.v35i1/107-122 </t>
  </si>
  <si>
    <t>https://scholar.google.com/citations?view_op=view_citation&amp;hl=en&amp;user=hTEK3WYAAAAJ&amp;citation_for_view=hTEK3WYAAAAJ:Se3iqnhoufwC</t>
  </si>
  <si>
    <t>CTE/HERRC</t>
  </si>
  <si>
    <t xml:space="preserve">Alumni’s Retrospective Evaluation of their Undergraduate Secondary Teacher Education Training
</t>
  </si>
  <si>
    <t>Apler J. Bansiong and Dolores Alawas</t>
  </si>
  <si>
    <t xml:space="preserve">Mountain Journal of Science and Interdiciplinary Research </t>
  </si>
  <si>
    <t>21st-century skills, Alumni feedback, Retrospective evaluation by alumni, Graduate tracer study, curriculum, Physical resources</t>
  </si>
  <si>
    <t>http://portal.bsu.edu.ph:8083/index.php/BRJ/article/view/400/418</t>
  </si>
  <si>
    <t>https://scholar.google.com/citations?view_op=view_citation&amp;hl=en&amp;user=Y3vamKYAAAAJ&amp;citation_for_view=Y3vamKYAAAAJ:LkGwnXOMwfcC</t>
  </si>
  <si>
    <t>IFHSA</t>
  </si>
  <si>
    <t xml:space="preserve">Fungal Contaminants and Cup Quality of Stored Roasted Arabica Coffee </t>
  </si>
  <si>
    <t>Von Y. Amado, Andres A. Basalong, And Hazen Lyn B. Talbino</t>
  </si>
  <si>
    <t>Arabica coffee, storage, microbial contamination, cup quality</t>
  </si>
  <si>
    <t>http://portal.bsu.edu.ph:8083/index.php/BRJ/article/view/397/415</t>
  </si>
  <si>
    <t>The Use of Podcasts for Language Learning: A Systematic Review of Literature</t>
  </si>
  <si>
    <t>Michaela G. Ramirez</t>
  </si>
  <si>
    <t>International Journal of English Language Studies</t>
  </si>
  <si>
    <t>Podcasts, language, learning, benefits, drawbacks, roles of podcast, systematic review</t>
  </si>
  <si>
    <t>https://doi.org/10.32996/ijels.2024.6.1.4</t>
  </si>
  <si>
    <t>Verification on Energy Digestibility in Ground Yellow Corn, Rice Bran, 
and Copra Expeller Fed to 10 to 15 kg Benguet Native Pigs</t>
  </si>
  <si>
    <t>Mineralito F. Simon and Mary Arnel D. Garcia</t>
  </si>
  <si>
    <t>digestibility trial, feeding standard, indigenous pig, nutrition, feed ingredients</t>
  </si>
  <si>
    <t>http://portal.bsu.edu.ph:8083/index.php/BRJ/article/view/398/416</t>
  </si>
  <si>
    <t>July to December 2024</t>
  </si>
  <si>
    <t>Cultural and Spiritual Adaptations to Extreme Weather Events of Ethnic Farming Communities of the Three Watersheds Situated at Different Altitudinal Locations along Agno River Basin, Benguet and Pangasinan, Philippines</t>
  </si>
  <si>
    <t>Josel M. Florentin and Emerson V. Barcellano</t>
  </si>
  <si>
    <t xml:space="preserve">Vol. 2 No. 4 (2024): European Journal of Theoretical and Applied Sciences </t>
  </si>
  <si>
    <t>Open access peer-reviewed</t>
  </si>
  <si>
    <t>Agno River Basin, Ethnic farming communities, Cultural/spiritual adaptations, extreme weather, climate- related hazards</t>
  </si>
  <si>
    <t>https://doi.org/10.59324/ejtas.2024.2(4).14</t>
  </si>
  <si>
    <t>Ecological insights on communal forests in the tropics: The case of Alapang Communal Forest of La Trinidad, Benguet, Philippines</t>
  </si>
  <si>
    <t>Marvin P. POCYOY, Jones T. NAPALDET</t>
  </si>
  <si>
    <t>Taiwania</t>
  </si>
  <si>
    <t>SCOPUS/ Clarivate/ Web of Science (ISI)</t>
  </si>
  <si>
    <t xml:space="preserve">carbon stock, community perspective, depressed station, Pinus kesiya, urban communal forest. </t>
  </si>
  <si>
    <t>https://www.researchgate.net/profile/Jones-Napaldet/publication/382889888_Ecological_insights_on_communal_forests_in_the_tropics_The_case_of_Alapang_Communal_Forest_of_La_Trinidad_Benguet_Philippines/links/66b21fdd51aa0775f26d7ef5/Ecological-insights-on-communal-forests-in-the-tropics-The-case-of-Alapang-Communal-Forest-of-La-Trinidad-Benguet-Philippines.pdf</t>
  </si>
  <si>
    <t>Indigenous Ecological Knowledge and Systems of Ethnic Farmers Located at Different Altitudinal Locations along Agno River, Philippines</t>
  </si>
  <si>
    <t>American Journal of Agricultural Science, Engineering, and Technology</t>
  </si>
  <si>
    <t>Climate Stressors, Ethnic Communities, Farming Techniques, Indigenous Knowledge and Systems, Watershed</t>
  </si>
  <si>
    <t>https://doi.org/10.54536/ajaset.v8i3.3347</t>
  </si>
  <si>
    <t>Self-purification in tropical upland rivers as affected by environmental factors: the case of Balili River in Benguet, Philippines</t>
  </si>
  <si>
    <t>Mercedes K. Ago,Regine D. Caasi,Divina S. Kege-e &amp;Jones T. Napaldet</t>
  </si>
  <si>
    <t>International Journal of Phytoremediation</t>
  </si>
  <si>
    <t>Scopus 1994, from 1996 to 2024, WoS (Science Citation Index Expanded)</t>
  </si>
  <si>
    <t>Canonical correspondence analysis, elevation, floral diversity, natural regeneration</t>
  </si>
  <si>
    <t>https://doi.org/10.1080/15226514.2024.2380751</t>
  </si>
  <si>
    <t>8-Week Self-Training Program in Sepak Takraw</t>
  </si>
  <si>
    <t>Dustin Paolo Tinte Cruz, Russell B. Dolendo</t>
  </si>
  <si>
    <t>Puissant</t>
  </si>
  <si>
    <t>quasi-experimental, physical fitness, training program, athletes, performances</t>
  </si>
  <si>
    <t>https://www.puissant.stepacademic.net/puissant/article/view/403</t>
  </si>
  <si>
    <t>Genetic diversity and population structure of Philippine strawberry germplasm based on genome-wide simple sequence repeat markers</t>
  </si>
  <si>
    <t>Elec VH, Cadorna CAE, Tad-Awan BA, Basquial DA, Dumaslan MR, Rey JD</t>
  </si>
  <si>
    <t>Biodiversitas</t>
  </si>
  <si>
    <t>Clarivate (Zoological records)/Scopus from 2014 to present/ACI</t>
  </si>
  <si>
    <t>dmixture, genetic diversity, geographic origin, Philippine strawberry, SSRs</t>
  </si>
  <si>
    <t>https://smujo.id/biodiv/article/view/17437</t>
  </si>
  <si>
    <t>CHET</t>
  </si>
  <si>
    <t>PO-MU-MA Emergency food bar: nutritional, microbial, sensorial, and cost analysis</t>
  </si>
  <si>
    <t>Lyka Mae Socao Ibayan
Frenzel May Diano Bauding
Maxyne Piper Salupen Cabading
Bernadette Manuel Cayabyab
Pelin Bugtong Belino</t>
  </si>
  <si>
    <t xml:space="preserve">Brazilian Journal of Development </t>
  </si>
  <si>
    <t>emergency food bar, potato, mung bean, malunggay</t>
  </si>
  <si>
    <t>https://doi.org/10.34117/bjdv10n6-065</t>
  </si>
  <si>
    <t>From Social Media Engagement to Voting Decisions: Influence of Social Media on Local Election</t>
  </si>
  <si>
    <t>John Wilson C. Nicolas; Renebeth G. Donguiz</t>
  </si>
  <si>
    <t>Cognizance Journal of Multidisciplinary Studies</t>
  </si>
  <si>
    <t>Social media engagement, voting behavior, voting decisions, voter turnout</t>
  </si>
  <si>
    <t>https://d1wqtxts1xzle7.cloudfront.net/117047837/V4I705-libre.pdf?1722010120=&amp;response-content-disposition=inline%3B+filename%3DFrom_Social_Media_Engagement_to_Voting_D.pdf&amp;Expires=1728614860&amp;Signature=gJciSO6jNJGkz3hrJIvoUiRjdY2t5A05Il5dlRTLSEjPnLtlX7xnX-p4fMrbBeWstBQR3fRWcUV6BWjw62f8N8w~ZYIqlCQiJdiQRYkScygVGQkuerVGugG9p~wVYX-SKVaROzFPoAWpGTUz7q-KnofEYHhwDQJHp48tzY8tsrsm04~C-MCh9tqfm5IAgRRJvT4PkCtMMfFmSNUoYn76tJF7qncEHhJXOA3oX1hfrmz6FtPKH9YXgI2vfYtgXnPChbrY~2Jzxrg~XjQoEkQJlEc2C4LHqll-8MTzYnsc-Xg8VmF6QWQiELizOmS~z67LdOvFUPlPPkTg4FiT7iK1MQ__&amp;Key-Pair-Id=APKAJLOHF5GGSLRBV4ZA</t>
  </si>
  <si>
    <t>Self-efficacy in communication and employability skills of English language students</t>
  </si>
  <si>
    <t>Joerene Mae Layagan</t>
  </si>
  <si>
    <t>ELT Forum: Journal of English Language Teaching</t>
  </si>
  <si>
    <t>employability, English language students, employable skills, written communication skills, oral communication skills</t>
  </si>
  <si>
    <t>https://doi.org/10.15294/elt.v13i2.1516</t>
  </si>
  <si>
    <t>Verbal and non-verbal communication patterns of persuasive selling among live online sellers</t>
  </si>
  <si>
    <t>Jhordan T. Cuilan, Jason V. Chavez, Kristel Joy G. Soliva, Shania H. Jaafar, Kaiser Isham S. Savellon, Edwin M. Tantalie, Salman E. Albani</t>
  </si>
  <si>
    <t>Environment and Social Psychology (2024) Volume 9 Issue 8</t>
  </si>
  <si>
    <t>Scopus from 2019 to 2024</t>
  </si>
  <si>
    <t>live sellers; entrepreneurs; audiences; language; understanding; persuasive selling; communication</t>
  </si>
  <si>
    <t>https://esp.as-pub.com/index.php/esp/article/view/2519</t>
  </si>
  <si>
    <t>Internship Experience: The MMMAPS, the WorST, and the Interns</t>
  </si>
  <si>
    <t xml:space="preserve">Joseph B. Quinto, Frances Mae G. Diase </t>
  </si>
  <si>
    <t>Informasi</t>
  </si>
  <si>
    <t>career trajectories, hurdles, internship experience, CMO number 35, series of 2017</t>
  </si>
  <si>
    <t>https://scholarhub.uny.ac.id/informasi/vol54/iss1/1/</t>
  </si>
  <si>
    <t xml:space="preserve">Methods Used in YouTube for Teaching and Learning English Language: A Systematic Literature Review
</t>
  </si>
  <si>
    <t>Rufino, Gilliane G.</t>
  </si>
  <si>
    <t xml:space="preserve">International Journal of English Language Studies, 6(1), 82–97. </t>
  </si>
  <si>
    <t>YouTube, English Learning, Audio-Visual</t>
  </si>
  <si>
    <t>https://doi.org/10.32996/ijels.2024.6.1.9%20</t>
  </si>
  <si>
    <t>Pragmatic Instructions in Oral Communication in Context</t>
  </si>
  <si>
    <t>Joseph B Quinto</t>
  </si>
  <si>
    <t>JLE: Journal of Literate of English Education Study Program, 5(1), 1-16.</t>
  </si>
  <si>
    <t>interlanguage pragmatics, oral communication in context, pragmatic instructions</t>
  </si>
  <si>
    <t>https://doi.org/10.47435/jle.v5i1.2952</t>
  </si>
  <si>
    <t>The Dichotomy of Thumbs-Up Emoji in Online Conversations</t>
  </si>
  <si>
    <t>John Rey Osben Pelila, Jayson Ace Kigis Abenoja, Troy Pangwi Raymundo</t>
  </si>
  <si>
    <t>INDONESIAN JOURNAL OF EDUCATIONAL RESEARCH AND REVIEW
Volume 7 Nomor 2 2024, pp 347-356</t>
  </si>
  <si>
    <t>Emoji, Komunikasi Online, Tinjauan Literatur Sistematis</t>
  </si>
  <si>
    <t>https://doi.org/10.23887/ijerr.v7i2.75698</t>
  </si>
  <si>
    <t>Application Of The Levinisian Face-To-Face Dialogue Among Local Government Units: Basis Of Trendsetting Organizational Communication</t>
  </si>
  <si>
    <t>Cultural Landscape Insights</t>
  </si>
  <si>
    <t>Organizational Communication Levinas Face-To-Face Dialogue Organizational Change</t>
  </si>
  <si>
    <t>https://doi.org/10.59762/cli901324532120240305153643</t>
  </si>
  <si>
    <t>A Bibliometric Analysis of Benguet State University Research Journals (1977–2023): Implications for Library Resource Acquisitions, Access, and Services</t>
  </si>
  <si>
    <t>Science &amp; Technology Libraries</t>
  </si>
  <si>
    <t>Scopus from 1980 to 2008, from 2010 to 2024</t>
  </si>
  <si>
    <t>Bibliometric analysislibrary accesslibrary acquisitionperformance analysisresearch productivityscience mapping</t>
  </si>
  <si>
    <t>https://doi.org/10.1080/0194262X.2024.2434836</t>
  </si>
  <si>
    <t>In What Ways Do Educators Respond to Plagiarism Among Students?</t>
  </si>
  <si>
    <t>John Rey Osben Pelila, Johnell B. Desalit, Bernadette L. Soliba</t>
  </si>
  <si>
    <t>Indonesian Journal of Research and Educational Review</t>
  </si>
  <si>
    <t>Higher Education, Philippines, Plagiarism, Output-Based Assessment</t>
  </si>
  <si>
    <t>https://doi.org/10.51574/ijrer.v3i4.1971</t>
  </si>
  <si>
    <t>Telemedicine Adoption in Developing Economies: A Systematic Review on the Enablers and Barriers Review on the Enablers and Barrie</t>
  </si>
  <si>
    <t xml:space="preserve">Zaidbren Macabato1, Lemuel Clark Velasco1-3, Art Brian Escabarte4, Mae-Lanie Poblete4*, Armando Isla Jr.5, Rentor Cafino6, Sarah Lizette Aquino-Cafino7, Frevy Teofilo-Orencia8 </t>
  </si>
  <si>
    <t>Kesmas: Jurnal Kesehatan Masyarakat Nasional (National Public Health Journal)</t>
  </si>
  <si>
    <t>Scopus from 2016 to 2024</t>
  </si>
  <si>
    <t xml:space="preserve">barriers, enablers, technology adoption, telehealth, telemedicine </t>
  </si>
  <si>
    <t xml:space="preserve">https://doi.org/10.21109/kesmas.v19i4.1343
</t>
  </si>
  <si>
    <t>Applying a Four-Way Factorial Experimental Model to Diagnose Optimum kNN Parameters for Precise Aboveground Biomass Mapping</t>
  </si>
  <si>
    <t>Chinsu Lin; Nova D. Doyog</t>
  </si>
  <si>
    <t>IEEE Journal of Selected Topics in Applied Earth Observations and Remote Sensing ( Volume: 18)</t>
  </si>
  <si>
    <t>Scopus:from 2008 to 2024, WoS (Science Citation Index Expanded)</t>
  </si>
  <si>
    <t>Forestry;Biological system modeling;Estimation;Biomass;Measurement;Uncertainty;Systematics;Random forests;Carbon;Sampling methods;Adaptable precision management;Airborne laser scanning (ALS) lidar;carbon accounting;forest degradation;information uncertainty;k-nearest neighbor (kNN) approach estimated AGB (kNN-AGB) modeling;sampling scheme},</t>
  </si>
  <si>
    <t>https://doi.org/10.1109/JSTARS.2024.3486737</t>
  </si>
  <si>
    <t>Black Soldier Fly (Hermetia illucens L.) Larval Development as Affected by Different Substrates</t>
  </si>
  <si>
    <t>Septer Sucdad</t>
  </si>
  <si>
    <t>Andalasian International Journal of Entomology,</t>
  </si>
  <si>
    <t>Black Soldier Fly,Cabbage Trimmings,Banana Peelings,Retrograded Rice</t>
  </si>
  <si>
    <t>https://doi.org/10.25077/aijent.2.2.114-121.2024</t>
  </si>
  <si>
    <t>Mirroring academic journeys through
figurative language in the Book of Proverbs</t>
  </si>
  <si>
    <t>Jonathan Marcos Macaraeg 1,2,*
, John Rey Osben Pelila 1,3, and Joselito C. Gutierrez 1</t>
  </si>
  <si>
    <t>Cambodian Journal of Educational Research</t>
  </si>
  <si>
    <t>Book of Proverbs; figurative language; figure of speech; values;
Bible-based English language teaching</t>
  </si>
  <si>
    <t>https://www.researchgate.net/profile/John-Rey-Pelila/publication/382802211_Mirroring_academic_journeys_through_figurative_language_in_the_Book_of_Proverbs/links/66acd5f02361f42f23aefba6/Mirroring-academic-journeys-through-figurative-language-in-the-Book-of-Proverbs.pdf</t>
  </si>
  <si>
    <t>Aquatic Ecology</t>
  </si>
  <si>
    <t>Scopus:from 1996 to 2024; WoS (Science Citation Index Expanded)</t>
  </si>
  <si>
    <t>Self-purification
COVID
Water quality
Water quality index
Balili River</t>
  </si>
  <si>
    <t xml:space="preserve">Parental Discretionary Influence on Their Children’s Manner of
Learning English Language
</t>
  </si>
  <si>
    <t>Noel A. Comeros 1
, Jhordan T. Cuilan 2
, Jason V. Chavez 3</t>
  </si>
  <si>
    <t>Forum for Linguistic Studies | Volume 06 | Issue 04</t>
  </si>
  <si>
    <t xml:space="preserve">Scopus:from 2019 to 2024; 
</t>
  </si>
  <si>
    <t>Parental discretionary; Influence on their children’s manner; Learning English language</t>
  </si>
  <si>
    <t>https://www.researchgate.net/profile/Jhordan-Cuilan/publication/384881042_Parental_Discretionary_Influence_on_their_Children's_Manner_of_Learning_English_Language/links/670bb8c4dc91726ad38e570f/Parental-Discretionary-Influence-on-their-Childrens-Manner-of-Learning-English-Language.pdf</t>
  </si>
  <si>
    <t>Differential Treatment of Science, Technology, and Society Themes in the Philippine Junior High School Science Curriculum</t>
  </si>
  <si>
    <t xml:space="preserve">Bansiong, A., Ocampo, R. F., Caluza, E. M. V., &amp; Rillera, M. B. </t>
  </si>
  <si>
    <t>Diversitas Journal ISSN 2525-5215 Volume 9, Issue 4</t>
  </si>
  <si>
    <t xml:space="preserve"> science textbooks, science  teachers, human health      and diseases,  air quality , atmosphere</t>
  </si>
  <si>
    <t>https://doi.org/10.48017/dj.v9i4.3132</t>
  </si>
  <si>
    <t>Influence of inoculum-to-substrate ratio on biomethane production via anaerobic digestion of biomass</t>
  </si>
  <si>
    <t xml:space="preserve">
Marvin T. Valentin, Daniel Ciolkosz, Andrzej Białowiec</t>
  </si>
  <si>
    <t>Environmental Microbiology Reports Volume 16, Issue 6</t>
  </si>
  <si>
    <t>Scopus:from 2009 to 2024; WoS (Science Citation Index Expanded)</t>
  </si>
  <si>
    <t>https://doi.org/10.1111/1758-2229.70009</t>
  </si>
  <si>
    <t>Social work students’ perspectives on the future of human rights</t>
  </si>
  <si>
    <t>Marcin BoryczkoORCID Icon,Melinda MadewORCID Icon,Mark Lusk &amp;Jason LeungORCID Icon</t>
  </si>
  <si>
    <t xml:space="preserve">Social Work Education 
</t>
  </si>
  <si>
    <t>Scopus:from 1981 to 2024; WoS (Emerging Sources Citation Index)</t>
  </si>
  <si>
    <t>Human rightssocial workenvironmental rightscollective rightsauthoritarian nationalism</t>
  </si>
  <si>
    <t>https://doi.org/10.1080/02615479.2024.2415994</t>
  </si>
  <si>
    <t>Navigating Covid-19 Challenges – How Physical Education
Teachers Skillfully Applied Their Expertise</t>
  </si>
  <si>
    <t>Dennis Mokyat Daw-as a, *, John Rey Osben Pelila</t>
  </si>
  <si>
    <t>International Journal of
PHYSICAL EDUCATION, FITNESS AND SPORTS</t>
  </si>
  <si>
    <t>Distance learning education, Online education, Systematic literature review, Philippines</t>
  </si>
  <si>
    <t>https://ijpefs.org/index.php/ijpefs/article/view/560</t>
  </si>
  <si>
    <t>ISRD</t>
  </si>
  <si>
    <t>Motivating Factors and Challenges of Faculty Members in
a State University in the Philippines in Publishing Journal
Articles</t>
  </si>
  <si>
    <t>Cheryll Casiwan Launio, Freda Kate Damoslog Samuel, Alladin Banez, Matyline Camfili Talastas, Leonila Sito, Kristine Baniqued Dela Cruz</t>
  </si>
  <si>
    <t>Journal of Scientometric Research, 2024; 13(3):866-876.</t>
  </si>
  <si>
    <t>Scopus from 2019 to 2024, WoS (Emerging Sources Citation Index)</t>
  </si>
  <si>
    <t>Research productivity metrics, Journal publication rate, Motivation to publish, Faculty
researcher determinants, Publishing journal articles</t>
  </si>
  <si>
    <t>https://jourdata.s3.us-west-2.amazonaws.com/jscires/JScientometRes-13-3-866.pdf</t>
  </si>
  <si>
    <t>Development of a cell-type cylindrical carrot seeder</t>
  </si>
  <si>
    <t>Marvin T. Valentin, Keithler M. Pagnas ∙ Roger Lee M. Suclad ∙ Algirdas Jasinskas ∙ Rolandas Domeika ∙ Egidijus Šarauskis</t>
  </si>
  <si>
    <t>Heliyon</t>
  </si>
  <si>
    <t>Scopus from 2015 to 2024; WoS (Science Citation Index Expanded)</t>
  </si>
  <si>
    <t>Seeder
Cylindrical
Carrot
Hill center
Operating speed</t>
  </si>
  <si>
    <t>https://doi.org/10.1016/j.heliyon.2024.e39605</t>
  </si>
  <si>
    <t xml:space="preserve">Anti-Hypertensive and Anti-Hypercholesterolemic Effects of Protein Hydrolysates from (Phaseolus vulgaris) L. in Functional Beverage </t>
  </si>
  <si>
    <t>Yvonne D. Bolayo*, Mary Ann O. Torio</t>
  </si>
  <si>
    <t>Jurnal Gizi dan Pangan (Indonesian Journal of Nutrition and Food), July 2024, 19(2):107-116</t>
  </si>
  <si>
    <t>WoS (Emerging Sources Citation Index)</t>
  </si>
  <si>
    <t>anti-hypertensive, anti-cholesterolemic, bioactive peptides, common beans, functional
beverage</t>
  </si>
  <si>
    <t>https://doi.org/10.25182/jgp.2024.19.2.107-116</t>
  </si>
  <si>
    <t>Pinoy Tells: The Typology of English Language Learning Strategies</t>
  </si>
  <si>
    <t>Quinto, J.B. &amp;Cacanindin, M.R.</t>
  </si>
  <si>
    <t>Advanced Education, 25.</t>
  </si>
  <si>
    <t>Scopus from 2020 to 2024; WoS (Emerging Sources Citation Index)</t>
  </si>
  <si>
    <t>language learning strategies, cross-sectional exploratory sequential design, undergraduate university learners, inventory of English language learning strategies.</t>
  </si>
  <si>
    <t>https://doi.org/10.20535/2410-8286.309352</t>
  </si>
  <si>
    <t>AVIFAUNAL DIVERSITY OF THE NORTHERN CEMENT CORPORATION (NCC) IN SISON, PANGASINAN, PHILIPPINES</t>
  </si>
  <si>
    <t>Janice P. Balangen, Jocelyn A. Floresca, Johndale Rein T. Bullong and  Jones T. Napaldet</t>
  </si>
  <si>
    <t>Journal of Wetlands Biodiversity</t>
  </si>
  <si>
    <t>Open access peer-reviewed (not included in WoS list as of January 2025</t>
  </si>
  <si>
    <t>endemics, karst forest, Passer montanus, Pycnonotus goiavier, residents</t>
  </si>
  <si>
    <t>https://www.researchgate.net/publication/386218511_AVIFAUNAL_DIVERSITY_OF_THE_NORTHERN_CEMENT_CORPORATION_NCC_IN_SISON_PANGASINAN_PHILIPPINES</t>
  </si>
  <si>
    <t>FLORAL DIVERSITY AND CARBON STOCK ASSESSMENTS IN THE NATIONAL GREENING PROGRAM (NGP) SITE OF NORTHERN CEMENT CORPORATION  (NCC) IN SISON, PANGASINAN</t>
  </si>
  <si>
    <t>Jennifer C. Paltiyan-Bugtong, Marvin P. Pocyoy, Cleefershel P. Kiligto, Christian Wallace K. David, Johndale Rein T. Bullong and Jones T. Napaldet</t>
  </si>
  <si>
    <t xml:space="preserve">DENR-Philippines, carbon sequestration, diversity indices, NGP goals </t>
  </si>
  <si>
    <t>https://www.researchgate.net/publication/386219053_FLORAL_DIVERSITY_AND_CARBON_STOCK_ASSESSMENTS_IN_THE_NATIONAL_GREENING_PROGRAM_NGP_SITE_OF_NORTHERN_CEMENT_CORPORATION_NCC_IN_SISON_PANGASINAN</t>
  </si>
  <si>
    <t xml:space="preserve">SPECIES RICHNESS AND RIPARIAN VEGETATION  OF UPPER CHICO RIVER IN BONTOC,  MOUNTAIN PROVINCE </t>
  </si>
  <si>
    <t xml:space="preserve">Lichelyn M. Nasungan, Arel B. Sia-ed and Jones T. Napaldet   </t>
  </si>
  <si>
    <t>forest, human disturbance, residential, rice field</t>
  </si>
  <si>
    <t>https://www.researchgate.net/publication/386218927_SPECIES_RICHNESS_AND_RIPARIAN_VEGETATION_OF_UPPER_CHICO_RIVER_IN_BONTOC_MOUNTAIN_PROVINCE</t>
  </si>
  <si>
    <t>Climate Risk Profiles for a Climate-Resilient Agriculture on Selected Crops in the Cordillera Administrative Region</t>
  </si>
  <si>
    <t>Janet P. Pablo, Madeline S. Kingan, and Ben P. Sebiano</t>
  </si>
  <si>
    <t>Climate hazard, Tropical cyclone, Drought, Food security, Climate resilient technologies</t>
  </si>
  <si>
    <t>https://doi.org/10.70884/mjsir.v84i2.423</t>
  </si>
  <si>
    <t>Issues and Challenges Faced by Pre-Service Teacher-Participants of the SEA Teacher Project of SEAMEO</t>
  </si>
  <si>
    <t>Imee C. Cuadra, &amp; Ma. Myriam B. Bacud</t>
  </si>
  <si>
    <t>SEA Teacher Project, Pre-service teachers, Performance evaluation, Language barriers, Combined research approach</t>
  </si>
  <si>
    <t>https://doi.org/10.70884/mjsir.v84i2.427</t>
  </si>
  <si>
    <t>Prepared by:</t>
  </si>
  <si>
    <t>NOEL  A.   LENGUAJE</t>
  </si>
  <si>
    <t>Noted by:     CHERYLL C.  LAUNIO</t>
  </si>
  <si>
    <t>REPO Staff</t>
  </si>
  <si>
    <t xml:space="preserve">                       REPO Director</t>
  </si>
  <si>
    <t>f</t>
  </si>
  <si>
    <t>Jan-June 2023</t>
  </si>
  <si>
    <t>TeachTokerists in the Philippines: A Husserlian Phenomenology</t>
  </si>
  <si>
    <t>Joseph B. Quinto and Denver M. Cho-oy</t>
  </si>
  <si>
    <t>Asia Social Issues</t>
  </si>
  <si>
    <t>open access peer-reviewed</t>
  </si>
  <si>
    <t>TikTok, Husserlian phenomenology,    TeachTokerists, EduTok, Short-video platform</t>
  </si>
  <si>
    <t>https://so06.tci-thaijo.org/index.php/asi/article/view/258636/174963</t>
  </si>
  <si>
    <t>CF/GIS</t>
  </si>
  <si>
    <t xml:space="preserve">Biomass and Carbon Stock Assessment
of Trees in the Lowland Evergreen Forest
of Mt. Iraya, Batanes, Philippines </t>
  </si>
  <si>
    <t>Roscinto Ian C. Lumbres*, Deign Frolley C. Soriano, Nova D. Doyog, Romel A. Raterta, Severino C. Villarta Jr., and Zenaida G. Baoanan</t>
  </si>
  <si>
    <t>Philippine Journal of Science</t>
  </si>
  <si>
    <t>carbon sequestration, climate change, forest conservation, forest biometry, greenhouse
gas, protected area</t>
  </si>
  <si>
    <t>https://philjournalsci.dost.gov.ph/images/pdf/pjs_pdf/vol152no1/biomass_and_carbon_stock_assessment_of_tress_in_Mt_Iraya_Batanes_.pdf</t>
  </si>
  <si>
    <t>Discourse of culture and ideology in two African novels: Evolving a proto-literacy model</t>
  </si>
  <si>
    <t>Research Journal in Advanced Humanities</t>
  </si>
  <si>
    <t>Scopus from 2020 to present</t>
  </si>
  <si>
    <t>Discourse of culture and ideology, proto-literacy model, critical discourse analysis or CDA, processes of transitivity, language-literature interface, African novel</t>
  </si>
  <si>
    <t>https://royalliteglobal.com/advanced-humanities/article/view/989</t>
  </si>
  <si>
    <t>Investigation of the performance of a cylindrical hopper and metering device of a carrot seeder</t>
  </si>
  <si>
    <t xml:space="preserve">Marvin T. Valentin, Andrzej Białowiec, Davut Karayel, Algirdas Jasinskas, Daniel Ciolkosz &amp; Jeffrey A. Lavarias </t>
  </si>
  <si>
    <t>Applied mathematics, Engineering, Mathematics and computing, Mechanical engineering</t>
  </si>
  <si>
    <t>https://www.nature.com/articles/s41598-022-25798-8</t>
  </si>
  <si>
    <t>Vaccine wastage in the Philippines: An examination of the contributory factors</t>
  </si>
  <si>
    <t>Gilbert D. Bernardino Jr., Karolyn Rae A. Yogyog, Jude L. Tayaben, Paul Froilan U. Garma</t>
  </si>
  <si>
    <t>Commentary</t>
  </si>
  <si>
    <t>Public Health Challenges</t>
  </si>
  <si>
    <t>Wiley</t>
  </si>
  <si>
    <t>COVID-19, disinformation, health literacy, public–private partnerships, vaccine hesitancy, vaccinewastage</t>
  </si>
  <si>
    <t>https://onlinelibrary.wiley.com/doi/epdf/10.1002/puh2.50</t>
  </si>
  <si>
    <t>Climate risk vulnerability
assessment on the production of
heirloom rice (Oryza sativa L.) and
Arabica coffee (Coffea arabica L.) in
Mountain Province, Philippines</t>
  </si>
  <si>
    <t>Levi Ezekiel O. Daipan, Roscinto Ian C. Lumbres*, Myra Nieves T. Lingaling, Lynn J. Talkasen, Quinerlyn A. Godio, Guillermo A. Mendoza</t>
  </si>
  <si>
    <t>SciEnggJ</t>
  </si>
  <si>
    <t>Clarivate (Web of Science - Zoological Records)/Scopus</t>
  </si>
  <si>
    <t>Climate risk, vulnerability, heirloom rice, Arabica coffee,
exposure, sensitivity, adaptive capacity</t>
  </si>
  <si>
    <t>https://scienggj.org/2023/SciEnggJ%202023-vol16-no01-p28-39-Daipan%20et%20al.pdf</t>
  </si>
  <si>
    <t>Diversity assessment and listing of birds in Mt. Santo Tomas Forest Reserve in Tuba, Benguet Northern Philippines</t>
  </si>
  <si>
    <t>G.M. Alfonso</t>
  </si>
  <si>
    <t>Israel Journal of Ecology and Evolution</t>
  </si>
  <si>
    <t>Clarivate (Web of Science -SCIE); Scopus from 2006 to present</t>
  </si>
  <si>
    <t>birds diversity; richness; evenness; abundance; listing; eco class; endemism; species composition; conservation status</t>
  </si>
  <si>
    <t>https://doi.org/10.1163/22244662-bja10053</t>
  </si>
  <si>
    <t>Developing Finance Strategies: A Narrative on Financial Behavior of a State University Employees</t>
  </si>
  <si>
    <t>Glorina C. Damong</t>
  </si>
  <si>
    <t>International Journal For Multidisciplinary Research</t>
  </si>
  <si>
    <t>Financial Behavior, Finance Strategies, Employees</t>
  </si>
  <si>
    <t>https://www.ijfmr.com/research-paper.php?id=2072</t>
  </si>
  <si>
    <t>Challenges of Retrieving LULC Information in Rural-Forest Mosaic Landscapes Using Random Forest Technique</t>
  </si>
  <si>
    <t xml:space="preserve">Chinsu Lin* and Nova D. Doyog </t>
  </si>
  <si>
    <t>Forests 2023, 14(4), 816</t>
  </si>
  <si>
    <t>Scopus/Clarivate</t>
  </si>
  <si>
    <t>forest classification; mapping; forest degradation; agriculture; machine learning; sustainability</t>
  </si>
  <si>
    <t>https://www.mdpi.com/1999-4907/14/4/816</t>
  </si>
  <si>
    <t>Water quality, plankton community and primary productivity of Langiran Lake in Bayambang, Pangasinan, Philippines</t>
  </si>
  <si>
    <t>Mendoza, Dante M; Aquino, Michelle G B; Tandoc, Mark P; Briñas, Karen B B; Reyes, Doname A; et al.</t>
  </si>
  <si>
    <t>AACL Bioflux, 2023, Volume 16, Issue 2.</t>
  </si>
  <si>
    <t>eutrophication, Langiran Lake, phytoplankton, trophic status, zooplankton.</t>
  </si>
  <si>
    <t>https://www.proquest.com/openview/40c750d5a62fadda32c139bc24378005/1?pq-origsite=gscholar&amp;cbl=2046424</t>
  </si>
  <si>
    <t xml:space="preserve">
Principal components of students’ difficulties in mathematics in the purview of flexible learning</t>
  </si>
  <si>
    <t xml:space="preserve">Sibaen, N. W., Buasen, J. A., &amp; Alimondo, M. S. </t>
  </si>
  <si>
    <t>Journal on Mathematics Education, 14(2), 353–37</t>
  </si>
  <si>
    <t>Flexible LearningMathematicsPrincipal Component AnalysisStudents’ Difficulties</t>
  </si>
  <si>
    <t>https://doi.org/10.22342/jme.v14i2.pp353-374</t>
  </si>
  <si>
    <t>Plant Diversity in Selected Agro- and Forest Ecosystems in Indigenous Cultural Communities (ICCs) in the Cordillera Region, Northern Philippines</t>
  </si>
  <si>
    <t xml:space="preserve">Romeo A. Gomez Jr, Jason M. Leung, Joyce N. Paing, Elizabeth T. Dom-ogen, Aldrin V. Baniaga &amp; Rey D. Napoleon </t>
  </si>
  <si>
    <t>Plant Diversity in Biocultural Landscapes</t>
  </si>
  <si>
    <t>Springer</t>
  </si>
  <si>
    <t>Indigenous cultural communities (ICCs)
Traditional rice-based ecosystems (TRBEs)
UNESCO World Heritage
GIAHS
SEPL
Satoyama-satoumi
Protected areas
Communal</t>
  </si>
  <si>
    <t>https://link.springer.com/chapter/10.1007/978-981-19-8649-9_22</t>
  </si>
  <si>
    <t>Mosaic interplay of floral diversity, soil properties, disturbance intensity and elevation in the riparian ecosystem under semi-subsistence agriculture of Cordillera Central Range, Northern Philippines</t>
  </si>
  <si>
    <t xml:space="preserve">Minerva M. Dulnuan &amp; Jones T. Napaldet </t>
  </si>
  <si>
    <t>Scopus from 1996-2024, Web of Science-SCIE</t>
  </si>
  <si>
    <t>Amburayan River
Semi-subsistence agriculture
Floral diversity
Edaphic factor</t>
  </si>
  <si>
    <t>https://link.springer.com/article/10.1007/s10452-023-10033-x</t>
  </si>
  <si>
    <t>Socio-economic Status and Social Protection of Baguio Cemetery Contractors and Workers: Inputs for Interventions</t>
  </si>
  <si>
    <t>Kurt Zeus L. Dizon, Renebeth G. Donguiz</t>
  </si>
  <si>
    <t>International Journal of Multidisciplinary Research Review Volume 5(Issue 3)</t>
  </si>
  <si>
    <t>social protection, informal sector, cemetery</t>
  </si>
  <si>
    <t>https://www.researchgate.net/publication/371668323_Socio-economic_Status_and_Social_Protection_of_Baguio_Cemetery_Contractors_and_Workers_Inputs_for_Interventions</t>
  </si>
  <si>
    <t>Techniques And Challenges Of Teachers In Contextualizing Filipino 7 Instruction</t>
  </si>
  <si>
    <t>Penelope F. Tica-a, Joy D. Wangdali</t>
  </si>
  <si>
    <t xml:space="preserve"> Journal</t>
  </si>
  <si>
    <t>E-DAWA: An International Multidisciplinary Research Journal Volume 3 I Issue 1 I May 2023</t>
  </si>
  <si>
    <t>contextualized, Filipino, guide, teaching</t>
  </si>
  <si>
    <t>https://doi.org/10.56901/AAVG9034</t>
  </si>
  <si>
    <t>Assessment of the Implementation of Mother Tongue Based -Multilingual Education in Benguet</t>
  </si>
  <si>
    <t>Dominga S. Tomas</t>
  </si>
  <si>
    <t>pagtataya, MTB-MLE, implementasyon, unang wika</t>
  </si>
  <si>
    <t>https://doi.org/10.56901/FKAE5866</t>
  </si>
  <si>
    <t>Thriving Women After Marital Separation: A Case Study</t>
  </si>
  <si>
    <t>Erlyn Honeylette C Marquez, Cecilia G Junio</t>
  </si>
  <si>
    <t>PSU Journal of Advanced Studies</t>
  </si>
  <si>
    <t>Separated Married Women, Thriving Experiences, Challenges, Coping Techniques, Counseling Techniques</t>
  </si>
  <si>
    <t>https://www.psurj.org/online/index.php/jas/article/view/257</t>
  </si>
  <si>
    <t>Intensities of human disturbance dictate the floral diversity in tropical forest: the case of a secondary forest in Benguet, Philippines</t>
  </si>
  <si>
    <t>Domelson A. Balangen, Melchor S. Catones, Jane M. Bayeng &amp; Jones T. Napaldet</t>
  </si>
  <si>
    <t xml:space="preserve">Journal of Mountain Science </t>
  </si>
  <si>
    <t>Scopus from 2007-2024, Web of Science-SCIE</t>
  </si>
  <si>
    <t>Land use change
Secondary forest
Conventional farming
Endemic species
Exotic species</t>
  </si>
  <si>
    <t>https://link.springer.com/article/10.1007/s11629-022-7830-7</t>
  </si>
  <si>
    <t>Performance of Seed-Primed Ricebean (Vigna umbellata L.) Using Organic-Based Priming Materials and Priming Duration</t>
  </si>
  <si>
    <t>Hector C. Gayomba, Belinda A. Tad-awan, Hilda V. Palaes, and Juniel S. Busiguit</t>
  </si>
  <si>
    <t>Mountain Journal of Science and Interdisciplinary Research 83 No. 1</t>
  </si>
  <si>
    <t>organic-based priming materials, seed priming, priming duration, ricebean</t>
  </si>
  <si>
    <t>http://portal.bsu.edu.ph:8083/index.php/BRJ/article/view/353</t>
  </si>
  <si>
    <t>Development of Berry-Flavored Lemongrass Herbal Tea</t>
  </si>
  <si>
    <t>Kathlyn P. Aragon and Jao-jao A. Somyden</t>
  </si>
  <si>
    <t>Lemongrass, Strawberry, Mulberry, Herbal tea</t>
  </si>
  <si>
    <t>http://portal.bsu.edu.ph:8083/index.php/BRJ/article/view/354</t>
  </si>
  <si>
    <t>Direct or Inquiry? Science Teaching Orientations of Prospective Secondary Science Teachers</t>
  </si>
  <si>
    <t>Science teaching orientation, Epistemic modes, Inquiry instruction, Direct teaching, Didactic direct, Guided inquiry, Open Inquiry</t>
  </si>
  <si>
    <t>http://portal.bsu.edu.ph:8083/index.php/BRJ/article/view/355</t>
  </si>
  <si>
    <t>Outside Contributor</t>
  </si>
  <si>
    <t>Technology Leadership and Technology Integration in Selected Science High Schools in the National Capital Region: Basis for a Proposed Online Training Module</t>
  </si>
  <si>
    <t>Rafael V. Panganiban</t>
  </si>
  <si>
    <t>Education 4.0, International Technology Standards, Online Training, Technology Integration, Technology Leadership</t>
  </si>
  <si>
    <t>CSS</t>
  </si>
  <si>
    <t>Flexible Learning Opportunities and Challenges: Exploring the Experiences of Benguet State University During the COVID-19 Pandemic</t>
  </si>
  <si>
    <t>Ma. Theresa B. Dolipas, Karryl Mae C. Ngina, and Gigy G. Banes</t>
  </si>
  <si>
    <t>flexible learning, flexible learning challenges, flexible learning coping mechanisms, flexible learning opportunities</t>
  </si>
  <si>
    <t>http://portal.bsu.edu.ph:8083/index.php/BRJ/article/view/357</t>
  </si>
  <si>
    <t>Documentation and Promotion of Using Minisett Technique in Seed Yam Production</t>
  </si>
  <si>
    <t>Dalen T. Meldoz, Violeta B. Salda, and Grace S. Backian</t>
  </si>
  <si>
    <t>yam minisett technique, seed yam, productivity, documentation</t>
  </si>
  <si>
    <t>http://portal.bsu.edu.ph:8083/index.php/BRJ/article/view/358</t>
  </si>
  <si>
    <t>Market Chain Analysis of White Corn in Abra</t>
  </si>
  <si>
    <t>Jovinia S. Lucas</t>
  </si>
  <si>
    <t>market chain analysis, market chain, white corn, Abra</t>
  </si>
  <si>
    <t>Strategic Competences of Local Tourist Guides</t>
  </si>
  <si>
    <t>Richard A. Giye and Jhordan T. Cuilan</t>
  </si>
  <si>
    <t>Strategic, Tour guides, Communication breakdown</t>
  </si>
  <si>
    <t>http://portal.bsu.edu.ph:8083/index.php/BRJ/article/view/360</t>
  </si>
  <si>
    <t>Parenting Too Soon: Education and Child Care Concerns of College Student Mothers in the Cordillera Administrative Region</t>
  </si>
  <si>
    <t>Ann Heather B. Kiwang, Mursha D. Gapasin, and Gigy G. Banes</t>
  </si>
  <si>
    <t>Teenage pregnancy, Student mothers, Child care</t>
  </si>
  <si>
    <t>http://portal.bsu.edu.ph:8083/index.php/BRJ/article/view/361</t>
  </si>
  <si>
    <t>BSU Buguias</t>
  </si>
  <si>
    <t>Working Relationship Practices Between Administrators and Teachers: Effects on Teachers’ Job Performance</t>
  </si>
  <si>
    <t>Neivalyn B. Labenio</t>
  </si>
  <si>
    <t>Administrators, Teachers, Working relationship practices, Job performance</t>
  </si>
  <si>
    <t>http://portal.bsu.edu.ph:8083/index.php/BRJ/article/view/362</t>
  </si>
  <si>
    <t>July - Dec 2023</t>
  </si>
  <si>
    <t>Biodiversity Conservation in Mining Landscapes: a Systematic Review of Assessment Approaches in the Philippines</t>
  </si>
  <si>
    <t>Bernard Peter O. Daipan, Crusty E. Tinio, Nelson M. Pampolina</t>
  </si>
  <si>
    <t>SCOPUS</t>
  </si>
  <si>
    <t>biodiversity, conservation, mining area, mineral production sharing agreement</t>
  </si>
  <si>
    <t xml:space="preserve">https://doi.org/10.56899/152.04.15 </t>
  </si>
  <si>
    <t>Mapping Forest Vulnerability to Fire and Landslides in the Cordillera Region, Philippines</t>
  </si>
  <si>
    <t>Bernard Peter O. Daipan, Diomedes A. Racelis</t>
  </si>
  <si>
    <t>Science and Engineering Journal (SCIENGGJ)</t>
  </si>
  <si>
    <t>Cordillera, Forest Fire, GIS, Landslide, Vulnerability</t>
  </si>
  <si>
    <t>https://scienggj.org/2023-265/</t>
  </si>
  <si>
    <t>Opportunities and limitations to social learning for sustainability: empirical insights from a participatory approach to community-based resource management in the Philippines</t>
  </si>
  <si>
    <t>Doreen Ingosan Allasiw,Toshinori Tanaka,Shogo Kudo &amp;Takashi Mino</t>
  </si>
  <si>
    <t>International Journal of Agricultural Sustainability</t>
  </si>
  <si>
    <t>SCOPUS/Clarivate/Web of Science (ISI)</t>
  </si>
  <si>
    <t>Participatory Approach; Social Learning; Sustainability; Community-based Irrigation Management; Institutions; Collective Action; Conflict Resolution</t>
  </si>
  <si>
    <t>https://doi.org/10.1080/14735903.2023.2239075</t>
  </si>
  <si>
    <t>Plant species and ecosystem diversity along national road in mountain
sites: The case of Kennon Road in Cordillera Central Range, Philippines</t>
  </si>
  <si>
    <t>Jones T. Napaldet</t>
  </si>
  <si>
    <t>Conservation-important species, Kennon Road, Neotropical element, road biodiversity, Shannon diversity</t>
  </si>
  <si>
    <t>https://www.researchgate.net/profile/Jones-Napaldet/publication/373556574_Plant_species_and_ecosystem_diversity_along_national_road_in_mountain_sites_The_case_of_Kennon_Road_in_Cordillera_Central_Range_Philippines/links/64f1b91bc40f1d22df82ef02/Plant-species-and-ecosystem-diversity-along-national-road-in-mountain-sites-The-case-of-Kennon-Road-in-Cordillera-Central-Range-Philippines.pdf</t>
  </si>
  <si>
    <t>Gender Inclusivity of Library and Information Services</t>
  </si>
  <si>
    <t>Daniel S. Balbin, Jr.</t>
  </si>
  <si>
    <t>PAARL Research Journal
PRJ 2023; Vol. 9: 84-110</t>
  </si>
  <si>
    <t xml:space="preserve">Library services, library inclusivity, gender inclusivity, Library
Bill of Rights, LGBTQIA+
</t>
  </si>
  <si>
    <t>https://www.ejournals.ph/article.php?id=20041</t>
  </si>
  <si>
    <t>Virtual Internship Experiences of Library and Information Science Students During the Pandemic</t>
  </si>
  <si>
    <t>Daniel Jr. Soriano Balbin, Russell Battad Dolendo</t>
  </si>
  <si>
    <t>Journal of Information Science Theory and Practice</t>
  </si>
  <si>
    <t>library schools, in-service training, library science, models, educational</t>
  </si>
  <si>
    <t>https://doi.org/10.1633/JISTaP.2023.11.3.5</t>
  </si>
  <si>
    <t>EXAMINING THE IMPACT OF SINGLE PARENTING ON THE ACADEMIC PERFORMANCE OF JUNIOR HIGH SCHOOL
STUDENTS</t>
  </si>
  <si>
    <t>Aubrae Frances Engngeg Bannawi, Novia Praise Dewanan Foy-awen, Amir Sam Tagtag Joseph, Glayrheal Ducas Del Rosario, Lester Lyle Dayasen Andawi, Nover Luke Dalog Eslao, Ashlyn Jace Lagasca Banih, John Rey Osben Pelila</t>
  </si>
  <si>
    <t>INTERNATIONAL JOURNAL OF EDUCATION, PSYCHOLOGY
AND COUNSELLING</t>
  </si>
  <si>
    <t>Single Parenting, Academic Performance, Junior High School Students,
Correlational Study</t>
  </si>
  <si>
    <t>https://www.researchgate.net/profile/John-Rey-Pelila/publication/374006074_Examining_the_Impact_of_Single_Parenting_on_the_Academic_Performance_of_Junior_High_School_Students/links/65096d3382f01628f0310534/Examining-the-Impact-of-Single-Parenting-on-the-Academic-Performance-of-Junior-High-School-Students.pdf</t>
  </si>
  <si>
    <t>Phylogenetic relationships and historical biogeography of Otus species based on mitochondrial cytochrome b gene sequence</t>
  </si>
  <si>
    <t>Bernard Peter O. Daipan, Ivy Amor F. Lambio, Juan Carlos T. Gonzales, Nelson M. Pampolina</t>
  </si>
  <si>
    <t>SCOPUS/ Clarivet / Web of Science (ISI)</t>
  </si>
  <si>
    <t>Bayesian; biogeography; Maximum Likelihood; Maximum Parsimony; Otus; phylogeny</t>
  </si>
  <si>
    <t>https://doi.org/10.1163/22244662-bja10062</t>
  </si>
  <si>
    <t>Motivation and Effects of Adventure Sports Tourism in the Cordillera Administrative Region, Philippines</t>
  </si>
  <si>
    <t>Harland Gary B. Pawid</t>
  </si>
  <si>
    <t xml:space="preserve">CONNEXION Journal of Humanities and Social Sciences, 12(2), </t>
  </si>
  <si>
    <t>Adventure Sports Tourism, Environmental Awareness, Nature, Culture, Sustainable Tourism Development</t>
  </si>
  <si>
    <t>https://so05.tci-thaijo.org/index.php/MFUconnexion/article/view/266494/180114</t>
  </si>
  <si>
    <t>Influence of Pre-Incubation of Inoculum with Biochar on Anaerobic Digestion Performance</t>
  </si>
  <si>
    <t>Marvin T. Valentin, Kacper Świechowski, and  Andrzej Białowiec</t>
  </si>
  <si>
    <t>Materials 2023, 16(20), 6655</t>
  </si>
  <si>
    <t>Clarivate (Science Citation Index Expanded)</t>
  </si>
  <si>
    <t>biochar; glucose; pre-incubation; inoculum; methane</t>
  </si>
  <si>
    <t>https://doi.org/10.3390/ma16206655</t>
  </si>
  <si>
    <t>The Phenomenology of Inayan</t>
  </si>
  <si>
    <t>Charlie M. Dagwasi &amp; Virgilio A. Bas-ilan II</t>
  </si>
  <si>
    <t>Philosophies of Appropriated Religions pp 135–149</t>
  </si>
  <si>
    <t>Inayan
Adikaila
Kankanaey
Indigenous knowledge
Ipugaw</t>
  </si>
  <si>
    <t>https://link.springer.com/chapter/10.1007/978-981-99-5191-8_11</t>
  </si>
  <si>
    <t>Technology Adoption of Computer-Aided Instruction in Healthcare: A Structured Review</t>
  </si>
  <si>
    <t>Queenie Kate Cabanilla1, Frevy Teolo-Orencia2, Rentor Cano3, Armando T. Isla Jr.4, Jehan Grace Maglaya5, Xavier-Lewis Palmer6, Lucas Potter6, Dave E. Marcial7, Lemuel Clark Velasco</t>
  </si>
  <si>
    <t>International Journal of Emerging Technologies in Learning (iJET), 18(23), pp. 160–181</t>
  </si>
  <si>
    <t xml:space="preserve">Scopus from 2008 to 2023; </t>
  </si>
  <si>
    <t>technology adoption, computer-aided instruction, computer-assisted instruction, CAI in healthcare, PRISMA</t>
  </si>
  <si>
    <t>https://www.researchgate.net/deref/https%3A%2F%2Fdoi.org%2F10.3991%2Fijet.v18i23.44083?_tp=eyJjb250ZXh0Ijp7ImZpcnN0UGFnZSI6InB1YmxpY2F0aW9uIiwicGFnZSI6InB1YmxpY2F0aW9uIn19</t>
  </si>
  <si>
    <t>Digestible and Metabolizable Energy in Ground Yellow Corn, Rice Bran, and Copra Meal Fed to 10 to 15 kg Philippine Native Pigs (Benguet Strain)</t>
  </si>
  <si>
    <t>Mary Arnel D. Garcia</t>
  </si>
  <si>
    <t xml:space="preserve"> The Philippine Agricultural Scientist &gt; Vol. 106 (2023) &gt; No. 3</t>
  </si>
  <si>
    <t xml:space="preserve"> digestibility, feeding standards, indigenous pigs</t>
  </si>
  <si>
    <t>https://www.ukdr.uplb.edu.ph/pas/vol106/iss3/4/</t>
  </si>
  <si>
    <t>Pre-sowing treatments and soaking duration on physiological potential seed
germination of Okra (Abelmoschus esculentus cv. smooth green)</t>
  </si>
  <si>
    <t>Sittie Farhani USMAN, Jake GALIAN, Michael Adonis SUDARIA</t>
  </si>
  <si>
    <t>Agriculture and Forestry Journal Available online at:
 Vol. 7, Issue 2, pp. 55-61</t>
  </si>
  <si>
    <t xml:space="preserve">Okra, pre-sowing, seed
germination, soaking duration, vigor </t>
  </si>
  <si>
    <t>https://www.researchgate.net/profile/Michael-Adonis-Sudaria/publication/377270984_Pre-sowing_treatments_and_soaking_duration_on_physiological_potential_seed_germination_of_Okra_Abelmoschus_esculentus_cv_smooth_green/links/659e41f10bb2c7472b3f2beb/Pre-sowing-treatments-and-soaking-duration-on-physiological-potential-seed-germination-of-Okra-Abelmoschus-esculentus-cv-smooth-green.pdf</t>
  </si>
  <si>
    <t>Pandemic narratives of library and information centers in Baguio-Benguet</t>
  </si>
  <si>
    <t>Daniel Jr Soriano Balbin, Elizabeth Allan Lascano</t>
  </si>
  <si>
    <t>Digital Library Perspectives</t>
  </si>
  <si>
    <t>Scopus from 2016 to 2024; Web of Science-Emerging Sources Citation Index</t>
  </si>
  <si>
    <t>Libraries, Library services, Information services, Librarians, COVID-19 pandemic, Information center</t>
  </si>
  <si>
    <t>https://www.emerald.com/insight/content/doi/10.1108/DLP-01-2023-0004/full/html</t>
  </si>
  <si>
    <t>Morpho-Anatomy and Mathematical Modelling in Lilium philippinense Baker from Cordillera Central Range, Philippines</t>
  </si>
  <si>
    <t xml:space="preserve">Jennifer C. Paltiyan-Bugtong, Rey G. Lumpio, Jones T. Napaldet, </t>
  </si>
  <si>
    <t>Trop Life Sci Res. 2023 Sep; 34(3): 217–235</t>
  </si>
  <si>
    <t>Scopus from 2009 to 2023/ Clarivate (Emerging Sources Citation Index)</t>
  </si>
  <si>
    <t>Monocot Plant with Dicot Characters, Lilium philippinense, Lilium formosanum, Correlation, Regression</t>
  </si>
  <si>
    <t>https://doi.org/10.21315%2Ftlsr2023.34.3.12</t>
  </si>
  <si>
    <t>Land Use and Land Cover (LULC) Assessment within the Batanes Protected Landscapes and Seascapes.</t>
  </si>
  <si>
    <t>Doyog, Nova D.; Lumbres, Roscinto Ian C.; Talkasen, Lynn J.; Soriano, Deign Frolley C.</t>
  </si>
  <si>
    <t>Philippine Journal of Science, 2023, Vol 152, Issue 5, p1753</t>
  </si>
  <si>
    <t>Web of Science - Zoological Records; Scopus from 2009 to 2024</t>
  </si>
  <si>
    <t>https://www.researchgate.net/profile/Roscinto-Ian-Lumbres/publication/374343068_Land_Use_and_Land_Cover_LULC_Assessment_within_the_Batanes_Protected_Landscapes_and_Seascapes/links/654f3d2ace88b87031de9040/Land-Use-and-Land-Cover-LULC-Assessment-within-the-Batanes-Protected-Landscapes-and-Seascapes.pdf</t>
  </si>
  <si>
    <t xml:space="preserve">Research Knowledge Transfer in the Nursing Education Colleges of two Selected State Universities in Luzon (Philippines) </t>
  </si>
  <si>
    <t>Brian Saludes Bantugan, Jonalyn Esco, Chevelle ValencianoGaan, and Denice Mikaela Navarro</t>
  </si>
  <si>
    <t>International Journal of Arts and Social Science Volume 6 Issue 3,</t>
  </si>
  <si>
    <t>Research, Research Knowledge, Knowledge Transfer, State Universities and Colleges, Nursing
Education Research</t>
  </si>
  <si>
    <t>https://www.researchgate.net/profile/Brian-Bantugan/publication/369289239_Research_Knowledge_Transfer_in_the_Nursing_Education_Colleges_of_two_Selected_State_Universities_in_Luzon_Philippines/links/6413242392cfd54f84061ac7/Research-Knowledge-Transfer-in-the-Nursing-Education-Colleges-of-two-Selected-State-Universities-in-Luzon-Philippines.pdf</t>
  </si>
  <si>
    <t>Urban Forest Cover and LST Change Monitoring Through Optical and Thermal Remote Sensing Approach</t>
  </si>
  <si>
    <t>Journal of the Indian Society of Remote Sensing Volume 51, pages 2467–2480</t>
  </si>
  <si>
    <t>Clarivate (Science Citation Index Expanded)/Scopus from 1973 to Present</t>
  </si>
  <si>
    <t>Image enhancement, Optical and thermal multi-temporal data, Urban forest degradation, Urban temperature</t>
  </si>
  <si>
    <t>https://link.springer.com/article/10.1007/s12524-023-01779-w</t>
  </si>
  <si>
    <t>CSS/CNS/OSS</t>
  </si>
  <si>
    <t>Psychological Vulnerabilities and Mental Health Measures</t>
  </si>
  <si>
    <t>Karryl Mae  C. Ngina, Liza A. Ngiao, Joel V. Lubrica, and Editha A. Grande</t>
  </si>
  <si>
    <t>Mountain Journal of Science and Interdisciplinary Research 83 No. 2</t>
  </si>
  <si>
    <t>Mental Health, Depression, Anxiety, Stress, Self-Harm, Life Skills, Social Support, Psychological Vulnerabilities,Protective Factors</t>
  </si>
  <si>
    <t>http://portal.bsu.edu.ph:8083/index.php/BRJ/article/view/382/411</t>
  </si>
  <si>
    <t>CSS/NPRCRTC/HORTI</t>
  </si>
  <si>
    <t>Scaling Up Rootcrops Technology and the Women's Wisdom in the Conservation of Sweetpotato Varieties</t>
  </si>
  <si>
    <t>Ruth S. Batani, Kacy O. Labon, Teresita D. Masangcay, and Rhea S. Loncio</t>
  </si>
  <si>
    <t>Sweetpotato, Fusarium Wilt, Trichoderma,Tissue Culture Technology, Seed Exchange, Women's Conservation</t>
  </si>
  <si>
    <t>http://portal.bsu.edu.ph:8083/index.php/BRJ/article/view/376/405</t>
  </si>
  <si>
    <t>IHFSA/CA</t>
  </si>
  <si>
    <t>Effective Density of Lure Trap Against Coffee Berry Borer Infesting Arabica Coffee (Coffea arabica Linn.) in Benguet, Philippines</t>
  </si>
  <si>
    <t>Gemma S. Das-ilen, Hazzel Kith B. Dumpayan, and Bonie S. Ligat</t>
  </si>
  <si>
    <t>Coffee  Berry  Borer, Lure  Traps,Arabica  Coffee</t>
  </si>
  <si>
    <t>http://portal.bsu.edu.ph:8083/index.php/BRJ/article/view/377/406</t>
  </si>
  <si>
    <t>Direct Organogenesis and Regeneration of Arabica Coffee Cultivars</t>
  </si>
  <si>
    <t>Milagros R. Dumaslan, Belinda A. Tad-awan, and Sheryl B. Manuel</t>
  </si>
  <si>
    <t>Coffea  arabica,Direct Organogenesis,Sub-culture,Acclimatization</t>
  </si>
  <si>
    <t>http://portal.bsu.edu.ph:8083/index.php/BRJ/article/view/378/407</t>
  </si>
  <si>
    <t>2022          (Jan-June)</t>
  </si>
  <si>
    <t>Domestication of “Deguai” (Saurauia bontocensis Merr.)
at La Trinidad, Benguet, Philippines</t>
  </si>
  <si>
    <t>John G. Tacloy, Conrado C. Bao-idang, Sano L. Ngiwas, Marjie B. Esteban, and Milbrenne D. Yabes</t>
  </si>
  <si>
    <t>“deguai,” rooting hormones, Saurauia bontocensis Merr., stem cuttings, tree domestication, wild fruit trees</t>
  </si>
  <si>
    <t>https://philjournalsci.dost.gov.ph/images/pdf/pjs_pdf/vol151no1/domestication_of_denguai_at_La_Trinidad_Benguet_.pdf</t>
  </si>
  <si>
    <t>Philosophy of education in a new key: A collective writing project on the state of Filipino philosophy of education</t>
  </si>
  <si>
    <t>Gina A. Opiniano, Liz Jackson, Franz Giuseppe F. Cortez, Elizer Jay de los Reyes, Marella Ada V. Mancenido-Bolaños, Fleurdeliz R. Altez-Albela, Rodrigo Abenes, Jennifer Monje,Tyrene Joy B. Basal, Peter Paul E. Elicor, Ruby S. Suazo &amp; Rowena Azada-Palacios</t>
  </si>
  <si>
    <t xml:space="preserve">Discussion </t>
  </si>
  <si>
    <t>https://www.tandfonline.com/doi/full/10.1080/00131857.2021.2008357?src=</t>
  </si>
  <si>
    <t>Co-author                        (Is this kind of format considered for Humanities type of paper publication?)</t>
  </si>
  <si>
    <t>Assessment of the University Vision, Goals, Mission and
Program Objectives: A Management Protocol for
Quality Assurance</t>
  </si>
  <si>
    <t>Bretel B. Dolipas*, Julie A. Buasen, Maria Azucena B. Lubrica, Phil S. Ocampo, Kenneth B. Pakipac, Marycel T. Sajise &amp; Precious M. Valentin</t>
  </si>
  <si>
    <t>university vision, mission, goals, objectives, awareness, personnel</t>
  </si>
  <si>
    <t>https://www.athensjournals.gr/business/2022-8-2-3-Dolipas.pdf</t>
  </si>
  <si>
    <t>CEAT</t>
  </si>
  <si>
    <t>Assessment of Quality Indicators of Pressed Biofuel Produced from Coarse Herbaceous Plants and Determination of the Influence of Moisture on the Properties of Pellets</t>
  </si>
  <si>
    <t xml:space="preserve">Algirdas Jasinskas*, Vytautas Kleiza ,Dionizas Streikus, Rolandas Domeika, Edvardas Vaiciukevičius, Gvidas Gramauskas and Marvin T. Valentin </t>
  </si>
  <si>
    <t>coarse stem plants; solid biofuel; milling; granulation; quality indicators; burning; emissions; energy evaluation</t>
  </si>
  <si>
    <t>https://www.mdpi.com/2071-1050/14/3/1068</t>
  </si>
  <si>
    <t>Co-author</t>
  </si>
  <si>
    <t>Ecosystem services through the lens of indigenous people in the highlands of Cordillera Region, Northern Philippines</t>
  </si>
  <si>
    <t>Joyce N. Paing, Lenny G. J. van Bussel, Romeo A. Gomez, Jr., Lars G. Hein</t>
  </si>
  <si>
    <t>Local community, Ecosystem services, Human well-being, Ethnicity, Cordillera region, Philippines</t>
  </si>
  <si>
    <t>https://www.sciencedirect.com/science/article/pii/S0301479722001700</t>
  </si>
  <si>
    <t>Root growth potential and seedling growth of kamagong (Diospyros blancoi A. DC.) influenced by root pruning</t>
  </si>
  <si>
    <t>Milbrenne D. Yabes, Gerryc P. Alfonso, and Vida Q. Carandang</t>
  </si>
  <si>
    <t>Kamagong; Diospyrus blancoi; root pruning; root growth potential; seedling quality</t>
  </si>
  <si>
    <t>https://brill.com/view/journals/ijee/aop/article-10.1163-22244662-bja10034/article-10.1163-22244662-bja10034.xml</t>
  </si>
  <si>
    <t>Veterinary Medicine Students' Use of Library Resources and Access to Scientific Papers</t>
  </si>
  <si>
    <t>Veterinary Medicine Library, Library usage, Reading scientific papers, Library resources</t>
  </si>
  <si>
    <t xml:space="preserve">https://digitalcommons.unl.edu/libphilprac/6889 </t>
  </si>
  <si>
    <t>Characterizing the Ideal Audio-Visual Learning Content of Writing Course Learned in Distance</t>
  </si>
  <si>
    <t>Chester Esnara et al.</t>
  </si>
  <si>
    <t>audiovisual aids, COVID-19 pandemics, learning process, and learning strategy</t>
  </si>
  <si>
    <t>https://doi.org/10.21512/lc.v16i1.7731</t>
  </si>
  <si>
    <t>Co-Author</t>
  </si>
  <si>
    <t>College of Engineering</t>
  </si>
  <si>
    <t>Small-scale Demucilager Machine for Arabica Coffee
(Coffea arabica)</t>
  </si>
  <si>
    <t>Erickson N. Dominguez and Jeffrey A. Lavarias</t>
  </si>
  <si>
    <t>Coffee demucilager; mechanical mucilage removal; coffee mucilage; natural fermentation</t>
  </si>
  <si>
    <t>https://www.researchgate.net/profile/Jeffrey-Lavarias/publication/360471633_Small-scale_Demucilager_Machine_for_Arabica_Coffee_Coffea_arabica/links/6283301b37d496476ab57a79/Small-scale-Demucilager-Machine-for-Arabica-Coffee-Coffea-arabica.pdf</t>
  </si>
  <si>
    <t>Mental Toughness and Character Building through Sports</t>
  </si>
  <si>
    <t>Jumel C. Miller, Russell B. Dolendo</t>
  </si>
  <si>
    <t>Mental Toughness, Character Building, Sports</t>
  </si>
  <si>
    <t>https://www.journalppw.com/index.php/jpsp/article/view/3841/2513</t>
  </si>
  <si>
    <t>CA, CF</t>
  </si>
  <si>
    <t>Climate-Resilient Agriculture Assessment, Targeting and Prioritization for the Adaptation, and Mitigation Initiative in Agriculture (AMIA) in the Cordillera Administrative Region, Philippines</t>
  </si>
  <si>
    <t xml:space="preserve">Elizabeth E. Supangco, Janet P. Pablo, Roscinto Ian C. Lumbres, Charis Mae Tolentino-Neric, Levi Ezekiel O. Daipan, Gillian Katherine Inciong &amp; Ralphael Gonzales </t>
  </si>
  <si>
    <t>Adaptation, Climate Resilient Agri-fisheries,
Climate Risk Vulnerability Assessment, Mitigation</t>
  </si>
  <si>
    <t>https://link.springer.com/chapter/10.1007/978-981-19-0213-0_11</t>
  </si>
  <si>
    <t>10</t>
  </si>
  <si>
    <t>Boesenbergia igorota (Zingiberaceae), a new species from the Cordillera Central Range, Northern Philippines</t>
  </si>
  <si>
    <t>Rene Vincent B. Tad-o, Joanna I. Alafag, Jones T. Napaldet</t>
  </si>
  <si>
    <t>Boesenbergia alba, Cordillera Central Range, critically endangered, Igorot women, morphometrics, flora</t>
  </si>
  <si>
    <t>https://www.researchgate.net/publication/360886693_Boesenbergia_igorota_Zingiberaceae_a_new_species_from_the_Cordillera_Central_Range_Northern_Philippines</t>
  </si>
  <si>
    <t>11</t>
  </si>
  <si>
    <t>Time-honored praxis in preparing smoked meat delicacy (kinuday) of the ibaloy indigenous people in Benguet, Philippines</t>
  </si>
  <si>
    <t xml:space="preserve">Cynthia D. Garambas, Myrna Benita Z. Luna &amp; Consuelo T. Chua </t>
  </si>
  <si>
    <t>Ibaloy indigenous group,
Traditional smoked pork delicacy (kinuday),
Indigenous knowledge on meat smoking,
Benguet,
Philippines</t>
  </si>
  <si>
    <t>https://journalofethnicfoods.biomedcentral.com/articles/10.1186/s42779-022-00135-6</t>
  </si>
  <si>
    <t>12</t>
  </si>
  <si>
    <t>Humanities Department, Benguet State University</t>
  </si>
  <si>
    <t>Albubo Festival as a Tool to Enhance Community Engagement of
Buguias, Benguet Residents</t>
  </si>
  <si>
    <t xml:space="preserve">Jenalyn P. Oligo, Jaicelle P. Smith, Joseph B. Quinto </t>
  </si>
  <si>
    <t xml:space="preserve">Albubo festival, Buguias residents, community engagement, cultural festival, enhance effective </t>
  </si>
  <si>
    <t>https://media.neliti.com/media/publications/410862-albubo-festival-as-a-tool-to-enhance-com-35c084dd.pdf</t>
  </si>
  <si>
    <t>CA, CNAS</t>
  </si>
  <si>
    <t>Native/Heirloom Rice in the Cordilleras: Status, Conservation, and Utilization</t>
  </si>
  <si>
    <t xml:space="preserve">Romeo Jr. A. Gomez, Belinda A. Tad-awan, Alexander W. Fagyan, Joyce N. Paing &amp; Esther Josephine D. Sagalla </t>
  </si>
  <si>
    <t>Native, Heirloom rice,
Cordillera, Status,
Conservation, Utilization</t>
  </si>
  <si>
    <t>https://link.springer.com/chapter/10.1007/978-981-16-7699-4_6</t>
  </si>
  <si>
    <t>13</t>
  </si>
  <si>
    <t>Revisiting Philippine Folklore: Ba-diw as Discourse of Ethnicity in the Nonfolklorist Humanistic Lens</t>
  </si>
  <si>
    <t>Discourse of ethnicity, Ethnolinguistic literary critique, Ibaloy Ba-diw, Discourse analysis, Humanistic nonfolklorist lens</t>
  </si>
  <si>
    <t>https://www.al-kindipublisher.com/index.php/ijllt/article/view/3662</t>
  </si>
  <si>
    <t>14</t>
  </si>
  <si>
    <t>Benguet State University-Buguias Campus in 17 Years (1998-2015): Graduate Employability and Student Satisfaction</t>
  </si>
  <si>
    <t>Jayne B. Miranda, Martha C. Lagadan, Rio Ann B. Arceo, Samuel P. Reyes, and Julius B. Dominguez</t>
  </si>
  <si>
    <t>BSU-Buguias Campus, Graduate Employability, Tracer Study, Employer Satisfaction, Student Satisfaction</t>
  </si>
  <si>
    <t>http://journals.bsu.edu.ph/index.php/BRJ/issue/view/37</t>
  </si>
  <si>
    <t>15</t>
  </si>
  <si>
    <t>Ang Paggamit ng Wikang Filipino sa Pagtuturo sa Larang ng Agrikultura</t>
  </si>
  <si>
    <t>Divinia K. Dominguez</t>
  </si>
  <si>
    <t>wikang Filipino, larang ng agrikultura, wikang panturo</t>
  </si>
  <si>
    <t>Outside Contributor (Philippine Normal University)</t>
  </si>
  <si>
    <t>Effectiveness of K to 12 DepEd-Provided and Teacher-Made Modules on Student Performance in Technology and Livelihood Education Exploratory Subject Areas</t>
  </si>
  <si>
    <t>Lorena A. Castro</t>
  </si>
  <si>
    <t>K to 12 curriculum, Technology and Livelihood Education, module effectiveness</t>
  </si>
  <si>
    <t>16</t>
  </si>
  <si>
    <t>BSU-CTE</t>
  </si>
  <si>
    <t xml:space="preserve">Professional Development and Competence of School Heads in Urban and Rural Areas Leadership
</t>
  </si>
  <si>
    <t>Soraya T. Faculo and Divina M. Yango</t>
  </si>
  <si>
    <t>School leadership, Instructional leadership, Student-centered learning</t>
  </si>
  <si>
    <t>17</t>
  </si>
  <si>
    <t>Development and Evaluation of Task-Based Material in Business Mathematics for Senior High School</t>
  </si>
  <si>
    <t>Jayne B. Miranda and Elsie M. Pacho</t>
  </si>
  <si>
    <t>Task-based Material, Readability, Business Mathematics</t>
  </si>
  <si>
    <t>18</t>
  </si>
  <si>
    <t>Utilization of Rice Hull Char-Based Compost for Potato (Solanum tuberosum) Production</t>
  </si>
  <si>
    <t>Bennylyn B. Puyongan</t>
  </si>
  <si>
    <t>Rice Hull Char-Based Compost (RHCBC), Potato, Rice hull</t>
  </si>
  <si>
    <t>Outside Contributor (Visayas State University)</t>
  </si>
  <si>
    <t>Ratooning Response of Lowland Rice NSIC Rc216 to the Residual Effect of Goat Manure Application</t>
  </si>
  <si>
    <t>Alexis Gonzales and Dionesio M. Bañoc</t>
  </si>
  <si>
    <t>Jounal</t>
  </si>
  <si>
    <t>Fertilizer, gross margin, ratoon, residual effect, stubble</t>
  </si>
  <si>
    <t>19</t>
  </si>
  <si>
    <t>BSU-CA</t>
  </si>
  <si>
    <t>Isolation, Characterization, Identification, and Preliminary Pathogenicity Test of Entomopathogenic Fungi Against Whitefly (Bemesia tabaci)</t>
  </si>
  <si>
    <t>Rechelle B. Peningeo, Judith G. Lawilao, and Asuncion L. Nagpala</t>
  </si>
  <si>
    <t>Entomopathogenic Fungi (EPF), A. placenta, A. goldiana, H. epiphylla, Whitefly</t>
  </si>
  <si>
    <t>20</t>
  </si>
  <si>
    <t>Operations and Key Competencies of Micro-Scale Sewing Enterprises in Baguio City and La Trinidad, Benguet</t>
  </si>
  <si>
    <t>Susan D. Ansibey</t>
  </si>
  <si>
    <t>Competency, Micro-scale, Sewing enterprise</t>
  </si>
  <si>
    <t>21</t>
  </si>
  <si>
    <t>BSU-CHK/UHS</t>
  </si>
  <si>
    <t>Morphological Fitness Profile and the Prevalence of Hypertension and Diabetes Among Benguet State University Employees</t>
  </si>
  <si>
    <t>Eduardo P. Laconsay and Florence V. Poltic</t>
  </si>
  <si>
    <t>anthropometric measurement, BMI, body fat percentage, cardiovascular disease risk factor, waist circumference, morphological fitness, obesity, overweight</t>
  </si>
  <si>
    <t>Outside Contributor (Tarlac State University)</t>
  </si>
  <si>
    <t>Citizen’s Satisfaction with Local Government Response in a Selected Municipality of Tarlac</t>
  </si>
  <si>
    <t>Patricia Ann D. Estrada and Izelle C. Francisco</t>
  </si>
  <si>
    <t>Citizen Satisfaction, Local Goverment Response, Citizen Awareness, Availment, Satisfaction</t>
  </si>
  <si>
    <t>22</t>
  </si>
  <si>
    <t>Farmer-led Small-scale Irrigation Systems Management in Highland Vegetable Farming in the Cordillera Region, Philippines</t>
  </si>
  <si>
    <t>Cheryll C. Launio &amp; Marivic Abyado</t>
  </si>
  <si>
    <t>https://jemad.cem.uplb.edu.ph/issues/jemad-vol-8-no-1/</t>
  </si>
  <si>
    <t>23</t>
  </si>
  <si>
    <t>Example–conclusion map in teaching simple interest: A lesson
study</t>
  </si>
  <si>
    <t>Fleur De Cory Apasen Ngiwas, Daisy Lyn F. Mariano, Jayson G. Barsana, Michelle P. Cruz, Levi Elipane</t>
  </si>
  <si>
    <t>Critical pedagogy
Example-conclusion map
Lesson study
Problem solving maps
Simple interest</t>
  </si>
  <si>
    <t>https://files.eric.ed.gov/fulltext/EJ1341213.pdf</t>
  </si>
  <si>
    <t>24</t>
  </si>
  <si>
    <t>Comparative analysis of the leaf architectural characters of Saurauia bontocensis Merr. and Saurauia polysperma (Blanco) Merr. with the application of Digital Image Analysis Software</t>
  </si>
  <si>
    <t>Bernard Peter O. Daipan, Inocencio E. Buot, Jr.</t>
  </si>
  <si>
    <t>Digital Image Analysis, leaf architecture, plant taxonomy, Saurauia bontocensis, Saurauia polysperma</t>
  </si>
  <si>
    <t>https://smujo.id/biodiv/article/view/11265</t>
  </si>
  <si>
    <t>25</t>
  </si>
  <si>
    <t>Toxicity and Antioxidant Properties of Pacific Rain Tree (Samanea saman (Jacq.) Merr.) Pods</t>
  </si>
  <si>
    <t>James Kennard S. Jacob; Jennifer C. Paltiyan; Hezekiah Mirielle P. Aguinaldo; Ron Patrick Cuagdan Campos</t>
  </si>
  <si>
    <t>Rain tree, antioxidant, cytotoxicity, embryotoxicity, Samanea saman</t>
  </si>
  <si>
    <t>https://www.jabsonline.org/index.php/jabs/article/view/897</t>
  </si>
  <si>
    <t>Co- author</t>
  </si>
  <si>
    <t>26</t>
  </si>
  <si>
    <t>2022            (July-Dec.)</t>
  </si>
  <si>
    <t>Liquid Crystal Display (LCD) based Instruction and
Physics Performance</t>
  </si>
  <si>
    <t>Bretel B. Dolipas*, Freda Kate D. Samuel± &amp; Kenneth B. Pakipac•</t>
  </si>
  <si>
    <t xml:space="preserve">LCD, physics performance, sex, PowerPoint presentation, physics concept, problem solving </t>
  </si>
  <si>
    <t>https://www.athensjournals.gr/sciences/2022-9-3-4-Dolipas.pdf</t>
  </si>
  <si>
    <t>27</t>
  </si>
  <si>
    <t>Organoleptic and Physicochemical Characterization
of Ethnic Smoked Pork Delicacy (Kinuday)
Produced by the Ibaloy Indigenous People
in Cordillera, Philippines</t>
  </si>
  <si>
    <t>Cynthia D. Garambas, Myrna Benita Z. Luna, and Consuelo T. Chua</t>
  </si>
  <si>
    <t>Ibaloy indigenous group in Benguet, organoleptic characterization, Philippines, traditional
smoked pork delicacy (kinuday)</t>
  </si>
  <si>
    <t>https://philjournalsci.dost.gov.ph/images/pdf/pjs_pdf/vol151no4/organoleptic_and_physicochemical_characterization_of_ethnic_smoked_pork_delicacy_kinuday_.pdf</t>
  </si>
  <si>
    <t>Author</t>
  </si>
  <si>
    <t>28</t>
  </si>
  <si>
    <t xml:space="preserve">Language Theses and Dissertation Landscapes: An Analysis of Research Analyses
</t>
  </si>
  <si>
    <t>Fermilyn D Adais, Kara S. Panolong</t>
  </si>
  <si>
    <t>Content Analysis, Systematic Review, Language Research, Theses, Dissertations, Research Features</t>
  </si>
  <si>
    <t>http://www.cjess.ca/index.php/home/article/view/48</t>
  </si>
  <si>
    <t>29</t>
  </si>
  <si>
    <t>Buguias</t>
  </si>
  <si>
    <t>Stress  and  Coping  Strategies  of  University  Employees 
in  Buguias,  Benguet</t>
  </si>
  <si>
    <t xml:space="preserve">Elizabeth  M.  Bay-an*,  Gracita  N.  Estocapio,  and  Melody  C.  Domalti </t>
  </si>
  <si>
    <t>BSU-Buguias Campus, Coping Strategies, Stress, Stressors</t>
  </si>
  <si>
    <t>http://portal.bsu.edu.ph:8083/index.php/BRJ/article/view/329</t>
  </si>
  <si>
    <t>30</t>
  </si>
  <si>
    <t>Civil Engineering Students’ Problem-Solving Skills on Calculus-Based Problems</t>
  </si>
  <si>
    <t>Nelson S. Banos</t>
  </si>
  <si>
    <t>Problem-solving, Engineering Solving Skills, Rates Problems, Calculus Problems</t>
  </si>
  <si>
    <t>http://portal.bsu.edu.ph:8083/index.php/BRJ/article/view/334</t>
  </si>
  <si>
    <t>31</t>
  </si>
  <si>
    <t xml:space="preserve">Diversity  of  Ricebean  (Vigna  umbelleta  L.)  Germplasm 
in  the  Northern  Philippine  Highlands  Based 
on  Agro-morphological  Characteristics  and  Simple Sequence  Repeat  Markers </t>
  </si>
  <si>
    <t>Belinda  A.  Tad-awan*  and  Hilda  V.  Palaes</t>
  </si>
  <si>
    <t>agro-morphological characters, genetic diversity, genetic similarities, ricebean germplasm, simple sequence repeats</t>
  </si>
  <si>
    <t>http://portal.bsu.edu.ph:8083/index.php/BRJ/article/view/337</t>
  </si>
  <si>
    <t>32</t>
  </si>
  <si>
    <t>Upscaling  Organic  Agriculture  System  of  La  Trinidad, Benguet  Farmers</t>
  </si>
  <si>
    <t>Christine  Grace  S.  Fuchigami, and  Faith  N.  Belingon</t>
  </si>
  <si>
    <t>Benguet agriculture, Benguet women, Good farming practices, Good marketing practices, Gender in farming, Women in agriculture</t>
  </si>
  <si>
    <t>http://portal.bsu.edu.ph:8083/index.php/BRJ/article/view/332</t>
  </si>
  <si>
    <t>33</t>
  </si>
  <si>
    <t>Pre-Service Teachers' Technology Literacy Skills for Blended Learning: Case fo Four Universities in Baguio City and Benguet, Philippines</t>
  </si>
  <si>
    <t>Almon  B.  Bokilis</t>
  </si>
  <si>
    <t>Blended Learning, Technology Literacy, Knowledge Deepening</t>
  </si>
  <si>
    <t>http://portal.bsu.edu.ph:8083/index.php/BRJ/article/view/335</t>
  </si>
  <si>
    <t>34</t>
  </si>
  <si>
    <t>Lesser  Yam  (Dioscorea  esculenta)  Grown  and  Knowledge Transfer  Among  Indigenous  People  in  Northern  Philippines</t>
  </si>
  <si>
    <t>Grace  S. Backian, Betty  T.  Gayao,  and  Dalen  T.  Meldoz</t>
  </si>
  <si>
    <t>lesser yam, traditional knowledge, Northern Luzon IPs, tugui, Dioscorea esculenta</t>
  </si>
  <si>
    <t>http://portal.bsu.edu.ph:8083/index.php/BRJ/article/view/330</t>
  </si>
  <si>
    <t>35</t>
  </si>
  <si>
    <t>BSU Time Use: Engaging Faculty Researchers Before and After the Disallowance Disaster</t>
  </si>
  <si>
    <t>Ruth  S.  Batani  and  Kacy  O.  Labon</t>
  </si>
  <si>
    <t>Time Use, Faculty Researchers, Incentives</t>
  </si>
  <si>
    <t>http://portal.bsu.edu.ph:8083/index.php/BRJ/article/view/331</t>
  </si>
  <si>
    <t>36</t>
  </si>
  <si>
    <t>Effects  of  Roast  Levels  on  the  Physical  Properties, Microbial  Contaminants,  and  Cup  Quality  of  Arabica Coffee</t>
  </si>
  <si>
    <t>Andres  A.  Basalong*,  Von  Y.  Amado,  and  Hazen  Lyn  B.  Talbino</t>
  </si>
  <si>
    <t>Arabica coffee, roast levels, cup quality</t>
  </si>
  <si>
    <t>http://portal.bsu.edu.ph:8083/index.php/BRJ/article/view/338</t>
  </si>
  <si>
    <t>Motivated Strategies for Learning and Online Learning Readiness of Students in Maritime Institution in Central Luzon, Philippines</t>
  </si>
  <si>
    <t>Froilan  D.  Mobo</t>
  </si>
  <si>
    <t>Motivated strategies for learning, Online learning readiness, Maritime Institutions, Central Luzon</t>
  </si>
  <si>
    <t>http://portal.bsu.edu.ph:8083/index.php/BRJ/article/view/336</t>
  </si>
  <si>
    <t>37</t>
  </si>
  <si>
    <t>Stress,  Anxiety,  Depression  Levels  and  Coping Mechanisms  of  Students  and  Teachers: 
A  School-based  Population  Survey</t>
  </si>
  <si>
    <t>Karryl  Mae  C.  Ngina*,  Ann  Heather  B.  Kiwang,  and  Lance  Angelo  B.  Layugan</t>
  </si>
  <si>
    <t>Mental health, Stress, Anxiety, Depression</t>
  </si>
  <si>
    <t>http://portal.bsu.edu.ph:8083/index.php/BRJ/article/view/333</t>
  </si>
  <si>
    <t>38</t>
  </si>
  <si>
    <t>THE PLANT DIVERSITY OF MT. ULAP ECO-TRAIL
IN CORDILLERA CENTRAL RANGE, PHILIPPINES:
AN INSIGHT ON THE EFFECT OF ECOTOURISM
IN A SECONDARY FOREST</t>
  </si>
  <si>
    <t>Maricel A. Guron, Gideon Narvaez, Joanna I. Alafag and Jones T. Napaldet</t>
  </si>
  <si>
    <t>diversity indices, ecotourism, endangered species, floral diversity, Mt. Ulap Eco-Trail,
secondary forest</t>
  </si>
  <si>
    <t>https://www.muzeulbrailei.ro/uploads/img/stiintele-naturii/Volume%2012/02JWB2022122550.pdf</t>
  </si>
  <si>
    <t>39</t>
  </si>
  <si>
    <t>Evaluating the species distribution patterns of
the genus Saurauia Willd. in the Philippines
using geospatial analysis</t>
  </si>
  <si>
    <t>Bernard Peter O. Daipan, Inocencio E. Buot, Jr., Nelson M. Pampolina3</t>
  </si>
  <si>
    <t>Climate change, conservation, geographic information system, Saurauia,
species distribution, systematics, taxonomy</t>
  </si>
  <si>
    <t>https://oaj.fupress.net/index.php/webbia/article/download/13193/11413</t>
  </si>
  <si>
    <t>40</t>
  </si>
  <si>
    <t>2022           (July-Dec.)</t>
  </si>
  <si>
    <t>Bokod</t>
  </si>
  <si>
    <t>Translanguaging in the analysis of narrative techniques and discourse styles in selected Philippine short novels</t>
  </si>
  <si>
    <t>translanguaging, language-literature interface, narrative techniques, discourse styles, language and thought, modularity of the mind</t>
  </si>
  <si>
    <t>https://doi.org/10.58256/rjah.v3i4.960</t>
  </si>
  <si>
    <t>41</t>
  </si>
  <si>
    <t>On Code-Switching in English Major Courses</t>
  </si>
  <si>
    <t xml:space="preserve">Joseph B. Quinto, and Aiza Bheal M. Kitani </t>
  </si>
  <si>
    <t>code-switching, Bachelor of Secondary Education students majoring in English, English language professors, sequential explanatory mixed methods, higher education</t>
  </si>
  <si>
    <t>https://www.researchgate.net/profile/Aiza-Bheal-Kitani-2/publication/366578271_539_wwwwjournal-innovations/links/63a8391e03aad5368e3bafe7/539-wwwwjournal-innovations.pdf</t>
  </si>
  <si>
    <t>42</t>
  </si>
  <si>
    <t>Seize the day or seize theses? The challenges in undergraduate thesis writing</t>
  </si>
  <si>
    <t xml:space="preserve">Joseph B. Quinto </t>
  </si>
  <si>
    <t>no keywords</t>
  </si>
  <si>
    <t>http://www.iier.org.au/iier32/quinto.pdf</t>
  </si>
  <si>
    <t>43</t>
  </si>
  <si>
    <t>CMO No. 15, S. 2019: Graduate Students, Are You Ready for This?</t>
  </si>
  <si>
    <t>CHED Memo Order, research publication, mentorship</t>
  </si>
  <si>
    <t>https://philpapers.org/rec/QUICN</t>
  </si>
  <si>
    <t>44</t>
  </si>
  <si>
    <t>Assessment of Information Literacy and Fake News Identification of Benguet State University Freshmen: Implications for Library Literacy Program</t>
  </si>
  <si>
    <t>Daniel B. Balbin</t>
  </si>
  <si>
    <t>https://www.researchgate.net/publication/365070610_Assessment_of_Information_Literacy_and_Fake_News_Identification_of_Benguet_State_University_Freshmen_Implications_for_Library_Literacy_Program</t>
  </si>
  <si>
    <t>45</t>
  </si>
  <si>
    <t>Floral Diversity of Remnant Mossy Forest Patches in Atok, Benguet, Northern Philippines</t>
  </si>
  <si>
    <t>Jennifer C. Paltiyan-Bugtong, Cleefershel P. Kiligto,  Shaira Shane D. Cajigan, Judy O. Agtarap and Jones T. Napaldet</t>
  </si>
  <si>
    <t>baseline for conservation, Benguet, forest patches, mossy forest</t>
  </si>
  <si>
    <t>https://www.researchgate.net/publication/366983362_FLORAL_DIVERSITY_OF_THE_REMNANT_MOSSY_FOREST_PATCHES_IN_ATOK_BENGUET_NORTHERN_PHILIPPINES</t>
  </si>
  <si>
    <t>46</t>
  </si>
  <si>
    <t>ISCORE Model: Formative feedback is core in synchronous classes</t>
  </si>
  <si>
    <t>Formative Feedback; Synchronous Sessions; English Classes; Senior High School; 
Interpretive Phenomenology.</t>
  </si>
  <si>
    <t>https://www.researchgate.net/profile/Joseph-Quinto/publication/367654950_ISCORE_Model_Formative_feedback_is_core_in_synchronous_classes/links/63da19fc64fc8606380358ee/ISCORE-Model-Formative-feedback-is-core-in-synchronous-classes.pdf</t>
  </si>
  <si>
    <t>47</t>
  </si>
  <si>
    <t>The Consequences of Excessive Vegetable Production</t>
  </si>
  <si>
    <t>Heronima Sanchez</t>
  </si>
  <si>
    <t>Amuyo, Agriculture, Barangay, Consequences, Vegetable Production</t>
  </si>
  <si>
    <t>https://journals.e-palli.com/home/index.php/ajmri/article/view/1035</t>
  </si>
  <si>
    <t>Pagkatuto ng mga Mag-aaral Na Kankanaey ng Wikang Filipino Bilang Pangalawang Wika</t>
  </si>
  <si>
    <t>Dominga S. Tomas, Joshua Payangdo, &amp; Emmalyn Sagayo</t>
  </si>
  <si>
    <t>Pagkatuto, Pangalawang Wika, Kankana-ey, Filipino</t>
  </si>
  <si>
    <t>https://www.ijams-bbp.net/archive/vol-2-issue-11-november/pagkatuto-ng-mga-mag-aaral-na-kankanaey-ng-wikang-filipino-bilang-pangalawang-wika/</t>
  </si>
  <si>
    <t>NOEL  A.  LENGUAJE</t>
  </si>
  <si>
    <t>Noted by:     CHERYLL  C.  LAUNIO</t>
  </si>
  <si>
    <t xml:space="preserve">                    REPO Director</t>
  </si>
  <si>
    <t>Sustainable Development Goals (SDGs)</t>
  </si>
  <si>
    <t>SDG 1-No Poverty</t>
  </si>
  <si>
    <t>SDG 2-Zero Hunger</t>
  </si>
  <si>
    <t>SDG 3-Good Health and Well-being</t>
  </si>
  <si>
    <t>SDG 4-Quality Education</t>
  </si>
  <si>
    <t>SDG 5-Gender Equality</t>
  </si>
  <si>
    <t>SDG 6- Clean Water and Sanitation</t>
  </si>
  <si>
    <t>SDG 7- Affordable and Clean Energy</t>
  </si>
  <si>
    <t>SDG 8- Decent Work and Economic Growth</t>
  </si>
  <si>
    <t>SDG 9- Industry, Innovation and Infrastructure</t>
  </si>
  <si>
    <t>SDG 10- Reduced Inequalities</t>
  </si>
  <si>
    <t>SDG 11-Sustainable Cities and Communities</t>
  </si>
  <si>
    <t>SDG 12-Responsible Consumption and Production</t>
  </si>
  <si>
    <t>SDG 13-Climate Action</t>
  </si>
  <si>
    <t>SDG 14-Life Below Water</t>
  </si>
  <si>
    <t>SDG 15-Life on Land</t>
  </si>
  <si>
    <t>SDG 16-Peace, Justice and Strong Institutions</t>
  </si>
  <si>
    <t>SDG 17-Partnership for the Goals</t>
  </si>
  <si>
    <t>Diagnosing pristine pine forest development through pansharpened-surface-reflectance Landsat image derived aboveground biomass productivityForest Ecology and Management</t>
  </si>
  <si>
    <t>Nova D.Doyog, Chinsu Lin, Young Jin Lee, Roscinto Ian C.Lumbres, Bernard Peter O.Daipan, Derek C.Bayer, Christine P. Parian</t>
  </si>
  <si>
    <t>https://www.sciencedirect.com/science/article/abs/pii/S0378112721001006?via%3Dihub</t>
  </si>
  <si>
    <t>Detection of Forest Cover Disturbances Using Synthetic
Aperture Radar (SAR) Time Series Data in the Mount Pulag
National Park: A Key Biodiversity Area in Luzon, Philippines</t>
  </si>
  <si>
    <t>https://philjournalsci.dost.gov.ph/publication/special-issues/biodiversity/104-vol-150-s1/1359</t>
  </si>
  <si>
    <t>"Concern for Community": Case of cooperatives in the Cordillera Region</t>
  </si>
  <si>
    <t>Cheryll C. Launio and Marycris Sotelo</t>
  </si>
  <si>
    <t>https://www.sciencedirect.com/science/article/abs/pii/S2213297X21000021</t>
  </si>
  <si>
    <t>Ecological distribution and soil-vegetation analysis of the indigenous vegetable panawil (Leptosolena haenkei C. Presl.) in specific areas of Benguet and Mountain Province, Philippines</t>
  </si>
  <si>
    <t xml:space="preserve">Joyce N. Paing &amp; Romeo A. Gomez Jr. </t>
  </si>
  <si>
    <t>https://link.springer.com/article/10.1007/s42965-020-00131-4</t>
  </si>
  <si>
    <t>Should beach travel in the Philippines resume during the COVID-19 outbreak?</t>
  </si>
  <si>
    <t>G.A. Opiniano∗, H.T. Biana, C.M. Dagwasi, J.J.B. Joaquin</t>
  </si>
  <si>
    <t>Editorial Type</t>
  </si>
  <si>
    <t>https://www.ncbi.nlm.nih.gov/pmc/articles/PMC7572131/</t>
  </si>
  <si>
    <t>Processing of Wild Sunflower with Different Moisture Contents into Solid Bio Fuel</t>
  </si>
  <si>
    <t>Dummapi, F. T., Liniasan, J. I., Valentin, M. T., Onalan, M. B., Dumalhin, L. D., Galad, M. N., Ciolkosz, D., Jasinskas, A., &amp; Kelly, E. J.</t>
  </si>
  <si>
    <t>https://journaljenrr.com/index.php/JENRR/article/view/30185</t>
  </si>
  <si>
    <t>Concept Design of a Portable Carrot Seeder</t>
  </si>
  <si>
    <t>Marvin T. Valentin, Alex Smeets, Daniel E. Ciolkosz, Milagros B. Onalan, Alvin C. Dulay, Leonardo D. Dumalhin, Constantino T. Sudaypan Sr., Cheryll C. Launio, Marlon N. Galad, Roger Lee M. Suclad and Keithlern M. Pagnas</t>
  </si>
  <si>
    <t>https://www.journaljerr.com/index.php/JERR/article/view/17302</t>
  </si>
  <si>
    <t>The Perspective Of The Cordilleran People On The Political, Economic And Socio-Cultural Advantages Of Federalism</t>
  </si>
  <si>
    <t>Renebeth G. Donguiz</t>
  </si>
  <si>
    <t>https://doi.org/10.17762/turcomat.v12i4.1388</t>
  </si>
  <si>
    <t xml:space="preserve">BSU Bokod </t>
  </si>
  <si>
    <t>Assessing the Listening Proficiency of ESL Students in a Pandemic</t>
  </si>
  <si>
    <t>https://doi.org/10.32996/ijllt.2021.4.4.10</t>
  </si>
  <si>
    <t>Interventions in Addressing Gender Issues in the Classroom</t>
  </si>
  <si>
    <t>Gretchen Gaye C. Ablaza</t>
  </si>
  <si>
    <t>https://doi.org/10.17762/turcomat.v12i3.2162</t>
  </si>
  <si>
    <t>Local knowledge and practices towards the ecological restoration of selected landscape in Atok, Benguet, Philippines</t>
  </si>
  <si>
    <t>Kenneth A. Laruan, Landicho LD, Ocampo MTNP, Cabahug RED, Abadillos MG, Cosico RSA, Castillo AKA, Ramirez MAJP</t>
  </si>
  <si>
    <t>https://smujo.id/biodiv/article/view/8448</t>
  </si>
  <si>
    <t>Monitoring of Land Use and Land Cover Changes
in Mt. Pulag National Park Using Landsat
and Sentinel Imageries</t>
  </si>
  <si>
    <t>Nova D. Doyog, Roscinto Ian C. Lumbres, and Zenaida G. Baoanan</t>
  </si>
  <si>
    <t>https://philjournalsci.dost.gov.ph/images/pdf/pjs_pdf/vol150no4/monitoring_of_land_use_and_land_cover_changes_in_Mt_Pulag_.pdf</t>
  </si>
  <si>
    <t xml:space="preserve">Emergency Remote Learning in Nursing
Education During the COVID-19 Pandemic </t>
  </si>
  <si>
    <t>Jude l. Tayaben, Jeon E, Peltonen LM, Block L, Ronquillo C, , Nibber R, Pruinelli L, Perezmitre EL, Sommer J, Topaz M, Eler GJ, Shishido HY, Wardaningsih S, Sutantri S, Ali S, Alhuwail D, Abd-Alrazaq A, Akhu-Zaheya L, Lee YL, Shu SH, Lee J</t>
  </si>
  <si>
    <t>E Book</t>
  </si>
  <si>
    <t>https://europepmc.org/article/med/34042812</t>
  </si>
  <si>
    <t>Library Competency and Satisfaction of Seminarians Towards Their Formation</t>
  </si>
  <si>
    <t>Rose Ann Oriao Gados, Elizabeth Allan Lascano</t>
  </si>
  <si>
    <t>https://www.researchgate.net/publication/353355176_Library_Competency_and_Satisfaction_of_Seminarians_Towards_Their_Formation</t>
  </si>
  <si>
    <t>Awareness and Perceived Implementation of Barangay Micro-Business Enterprise Act of 2002 (Republic Act 9178) in La Trinidad, Benguet, Philippines</t>
  </si>
  <si>
    <t>Cynthia D. Garambas and Jeftee Ben B. Pinos-an</t>
  </si>
  <si>
    <t>http://portal.bsu.edu.ph:8083/index.php/BRJ/article/view/278</t>
  </si>
  <si>
    <t>ISRD/CSS</t>
  </si>
  <si>
    <t>The Integration of Indigenous Knowledge Systems (IKS) in the Tertiary Level Curriculum of Benguet State University La Trinidad Campus</t>
  </si>
  <si>
    <t>Gigy G. Banes and Kristine Baniqued-Dela Cruz</t>
  </si>
  <si>
    <t>http://portal.bsu.edu.ph:8083/index.php/BRJ/article/view/279</t>
  </si>
  <si>
    <t>Does the News Shape Our Views? Effects of Media Exposure on Implicit and Explicit Attitudes Toward Drug Addicts in the Philippines</t>
  </si>
  <si>
    <t>Francis Simonh M. Bries, Karryl Mae C. Ngina, and Joan Bonsol-Marasigan</t>
  </si>
  <si>
    <t>http://portal.bsu.edu.ph:8083/index.php/BRJ/article/view/280</t>
  </si>
  <si>
    <t>HORTI</t>
  </si>
  <si>
    <t>Production Performance of Salad Tomato Varieties Under Conventional Cultivation and the SemiTemperate Conditions of Benguet, Philippines</t>
  </si>
  <si>
    <t>Amelia M. Kimeu</t>
  </si>
  <si>
    <t>http://portal.bsu.edu.ph:8083/index.php/BRJ/article/view/281</t>
  </si>
  <si>
    <t>Perceptions on Politics and Political Participation of Benguet State University Students</t>
  </si>
  <si>
    <t>Ma. Theresa B. Dolipas</t>
  </si>
  <si>
    <t>http://portal.bsu.edu.ph:8083/index.php/BRJ/article/view/282</t>
  </si>
  <si>
    <t>DepEd-Baguio/CSS</t>
  </si>
  <si>
    <t>Working Conditions and Turnover Intentions of Teachers in Small Public Junior High Schools of Baguio City</t>
  </si>
  <si>
    <t>Froidelyn Fernandez-Docallas and Ruth S. Batani</t>
  </si>
  <si>
    <t>http://portal.bsu.edu.ph:8083/index.php/BRJ/article/view/283</t>
  </si>
  <si>
    <t>CNAS/SLU</t>
  </si>
  <si>
    <t>Teachers’ and Students’ Assessment on the Extent of Constructivism in the Senior High School Physics Learning Environment in Benguet, Philippines</t>
  </si>
  <si>
    <t>Jovalson T. Abiasen and Gaudelia A. Reyes</t>
  </si>
  <si>
    <t>http://portal.bsu.edu.ph:8083/index.php/BRJ/article/view/284</t>
  </si>
  <si>
    <t>Mastery Level of Chemistry Cognitive Competencies by Pre-Service Science Teachers of Benguet State University</t>
  </si>
  <si>
    <t>Luisita L. Ely</t>
  </si>
  <si>
    <t>http://portal.bsu.edu.ph:8083/index.php/BRJ/article/view/285</t>
  </si>
  <si>
    <t>Standardized Ileal Digestibility of Amino Acids in Nacedero (Trichanthera gigantea (Humboldt &amp; Bonpland.) Nees) Foliage, Copra Expeller, and Soybean Meal Fed to Growing Philippine Native Pigs (Sus scrofa domesticus Erxleben, 1777)</t>
  </si>
  <si>
    <t>Mary Arnel D. Garcia and Rommel Sulabo</t>
  </si>
  <si>
    <t>https://pas.cafs.uplb.edu.ph/2021/march-2021-vol-104-no-1/</t>
  </si>
  <si>
    <t>Spatio-temporal Analysis of Remotely Sensed Forest Loss Data in the Cordillera Administrative Region, Philippines</t>
  </si>
  <si>
    <t>Bernard Peter O. Daipan and Jenner A. Franco</t>
  </si>
  <si>
    <t>https://doi.org/10.1007/s41324-021-00414-5</t>
  </si>
  <si>
    <t>Consumer Behavior on Full-fatted Soybean-based Food Products as Meat Alternatives among Residents of Baguio City and Benguet Province</t>
  </si>
  <si>
    <t>Rodeliza A. Flores, Rochelle B. Quintos, Pelin B. Belino*, Amelia G. Bawang, Florida S. Rosario, Dalifer A. Gano, and Maravilla M. Senado</t>
  </si>
  <si>
    <t>http://portal.bsu.edu.ph:8083/index.php/BRJ/article/view/301</t>
  </si>
  <si>
    <t>Effect of Drying Methods and Load Volume on Microbial Contaminants and Cup Quality of Arabica Coffee</t>
  </si>
  <si>
    <t>Andres A. Basalong*, Von Y. Amado, and Hazen Lyn B. Talbino</t>
  </si>
  <si>
    <t>http://portal.bsu.edu.ph:8083/index.php/BRJ/article/view/302</t>
  </si>
  <si>
    <t>Patterns of forest cover loss in the terrestrial Key Biodiversity Areas in the Philippines: Critical habitat conservation priorities</t>
  </si>
  <si>
    <t>https://doi.org/10.11609/jott.6904.13.13.20019-20032</t>
  </si>
  <si>
    <t>Protected Cultivation Improves Growth of ‘Lollo Rossa’ Lettuce under Chilling Conditions in Benguet, Philippines</t>
  </si>
  <si>
    <t xml:space="preserve">*Darwin A. Basquial, Constancio C. De Guzman, Evalour T. Aspuria, 
Pompe C. Sta Cruz and Virginia C. Cuevas
</t>
  </si>
  <si>
    <t>http://issaasphil.org/issaas-journals/</t>
  </si>
  <si>
    <t>Students' Knowledge on Library and Information Science (LIS): An option for Choosing a Career</t>
  </si>
  <si>
    <t>https://digitalcommons.unl.edu/libphilprac/5875/</t>
  </si>
  <si>
    <t>Breeding Temperate Japonica Rice Varieties Adaptable to Tropical Regions: Progress and Prospects</t>
  </si>
  <si>
    <t>Jessdon Y. Del-amen et al.</t>
  </si>
  <si>
    <t>https://doi.org/10.3390/agronomy11112253</t>
  </si>
  <si>
    <t>FLORAL DIVERSITY OF INTEK RIVER IN TUBA, BENGUET, NORTHERN PHILIPPINES</t>
  </si>
  <si>
    <t>Jones Napaldet et al.</t>
  </si>
  <si>
    <t>https://www.researchgate.net/publication/354983990_FLORAL_DIVERSITY_OF_INTEK_RIVER_IN_TUBA_BENGUET_NORTHERN_PHILIPPINES</t>
  </si>
  <si>
    <t>Teaching Internship Apprehensions of Pre-service Teachers</t>
  </si>
  <si>
    <t>http://journals.bsu.edu.ph/index.php/BRJ/issue/view/36</t>
  </si>
  <si>
    <t>Sectoral Assessment of Greenhouse Gas (GHG) Emission in Barangay Bineng, La Trinidad, Benguet</t>
  </si>
  <si>
    <t>Sayrha Fe A. Gaya, and Marissa R. Parao</t>
  </si>
  <si>
    <t>HERRC/CA</t>
  </si>
  <si>
    <t>Survey and Identification of Plant-Parasitic Nematodes Infecting Planting Materials of Garlic (Allium sativum) in Major Growing Areas of Ilocos Norte, Philippines</t>
  </si>
  <si>
    <t>Lu Jane C. Bugnay-Inso and Nordalyn B. Pedroche</t>
  </si>
  <si>
    <t>Bacterial Isolates as Potential Inoculants for Organic Kale (Brassica oleracea L.) Production in Nueva Ecija</t>
  </si>
  <si>
    <t>Ruth P. Guntang, Purisima P. Juico and Jonathan L. Galindez</t>
  </si>
  <si>
    <t>HERRC/CA/CNAS</t>
  </si>
  <si>
    <t>Prospective Lifelong Learning Activities of Students and Faculty Members in Philippine HEI Centers of Excellence and Centers of Development in STEAM Programs</t>
  </si>
  <si>
    <t>Felixberto M. Mercado, Belinda A. Tad-awan, Han B. Bonoy, and Joyce D. Mauricio</t>
  </si>
  <si>
    <t>Efficacy of Fermented Garlic and Vinegar-Based Biopesticide for the Management of Sweetpotato Wilt caused by Fusarium oxysporum f. sp. batatas</t>
  </si>
  <si>
    <t xml:space="preserve">Teresita D. Masangcay and Jophr. L. Galian
</t>
  </si>
  <si>
    <t>Employment Profile and Program Relevance: Bases for Quality Measures Towards Language Curriculum</t>
  </si>
  <si>
    <t>Jhordan Cuilan, Cynthia Lubiton</t>
  </si>
  <si>
    <t>https://ijlls.org/index.php/ijlls/article/view/773</t>
  </si>
  <si>
    <t>HOST RESPONSE TO Meloidogyne incognita INFECTION OF SEMI-TEMPERATE CARROT, CELERY AND SWEET PEPPER CULTIVARS COMMONLY GROWN IN THE HIGHLANDS OF BENGUET PROVINCE, PHILIPPINES</t>
  </si>
  <si>
    <t>Nordalyn B. Pedroche, Ma. Teodora Nadong Cabasan,
Luciana M. Villanueva, and Dirk De Waele</t>
  </si>
  <si>
    <t>http://issaasphil.org/wp-content/uploads/2021/12/3.-Pedroche-et-al.-2021.-Host-Response-to-Meloidogyne-incognita-Infection-FINAL.pdf</t>
  </si>
  <si>
    <t>High initial population densities of Meloidogyne graminicola result in loss of resistance and tolerance of recombinant inbred lines (RIL) of Asian rice (Oryza sativa)</t>
  </si>
  <si>
    <t>Judith Galeng Lawilao, Arvind Kumar and Dirk De Waele</t>
  </si>
  <si>
    <t>https://cyberleninka.ru/article/n/high-initial-population-densities-of-meloidogyne-graminicola-result-in-loss-of-resistance-and-tolerance-of-recombinant-inbred-lines</t>
  </si>
  <si>
    <t>Enhanced MELCS-based curriculum in reading and writing skills in a blended pedagogy</t>
  </si>
  <si>
    <t>Mary Geraldine Gunaban, Kara Panolong</t>
  </si>
  <si>
    <t>https://myjms.mohe.gov.my/index.php/ijeap/article/view/16418</t>
  </si>
  <si>
    <t>Katutubong Kaalaman: Pananaw at Integrasyon sa Akademikong Filipino</t>
  </si>
  <si>
    <t>Faustina T. Dio-as, Dominga S. Tomas</t>
  </si>
  <si>
    <t xml:space="preserve">Journal </t>
  </si>
  <si>
    <t>not included in the website of the journal</t>
  </si>
  <si>
    <t>CAS</t>
  </si>
  <si>
    <t xml:space="preserve">Morpho-Anatomical Characterization of Rhododendron subsessile Rendle, an Endangered Species of the Cordillera Central Range, Philippines
</t>
  </si>
  <si>
    <t>Jones T. Napaldet, Starleene S. Cervantes Mabel Grace V. Bitayan</t>
  </si>
  <si>
    <t>https://link.springer.com/article/10.1007/s11676-019-01087-5</t>
  </si>
  <si>
    <t>Ecological Services of Agroforestry Systems in Selected Upland Farming Communities in the Philippines</t>
  </si>
  <si>
    <t>Romnick S. Baliton*, Leila D. Landicho, Rowena Esperanza D. Cabahug, Roselyn F. Paelmo, Kenneth A. Laruan, Ramil S. Rodriguez, Roberto G. Visco, Arnold Karl A. Castillo</t>
  </si>
  <si>
    <t>https://www.researchgate.net/publication/339064707_Ecological_services_of_agroforestry_systems_in_selected_upland_farming_communities_in_the_Philippines</t>
  </si>
  <si>
    <t>Confirmed Record of Spongospora subterranea subsp. Subterranea in Potato cv. Igorota in Northern Philippines and the Susceptability of Tomato cv. Yellow Plum to Spongospora Root Infection</t>
  </si>
  <si>
    <t>Mark Angelo Balendres &amp; Teresita Masangcay</t>
  </si>
  <si>
    <t>https://www.tandfonline.com/doi/abs/10.1080/03235408.2020.1717252</t>
  </si>
  <si>
    <t>Awareness and Compliance on Waste Segregation:
Implication to a Waste Management Program in a
University</t>
  </si>
  <si>
    <t>Bretel B. Dolipas, Jennifer Lyn S. Ramos, Monica S. Alimondo,Phil S. Ocampo &amp; Danni Loven A. Fulwani</t>
  </si>
  <si>
    <t>https://www.athensjournals.gr/sciences/2020-7-2-1-Dolipas.pdf</t>
  </si>
  <si>
    <t>Adoption and economic analysis of using biological control in Philippine highland farms: Case of Trichoderma koningii strain KA</t>
  </si>
  <si>
    <t>Cheryll C. Launio, Kacy O. Labon, Alladin A. Bañez, Ruth S. Batani</t>
  </si>
  <si>
    <t>https://www.sciencedirect.com/science/article/abs/pii/S0261219420301101</t>
  </si>
  <si>
    <t>Estimation of Basic Wood Density and its Uncertainty for Quercus Species in South Korea</t>
  </si>
  <si>
    <t>Jung Kee Pyo, Roscinto Ian Lumbres, Yeong Mo Son, Kyeong Hak Lee, Young Jin Lee</t>
  </si>
  <si>
    <t>https://ovcre.uplb.edu.ph/journals-uplb/index.php/JESAM/article/view/331</t>
  </si>
  <si>
    <t>Crown Fuel Characteristics and Allometric Equations of Pinus densiflora in Gyeongbuk Province, Korea</t>
  </si>
  <si>
    <t>Sung Yong Kim, Roscinto Ian Lumbres, Yeon Ok Seo, Mina Jang, Sun Joo Lee, Byungdoo Lee, Young Jin Lee</t>
  </si>
  <si>
    <t>https://ovcre.uplb.edu.ph/journals-uplb/index.php/JESAM/article/view/332/308</t>
  </si>
  <si>
    <t>Identification of quantitative trait loci underlying resistance and tolerance to the rice root-knot nematode, Meloidogyne graminicola, in Asian rice (Oryza sativa)</t>
  </si>
  <si>
    <t xml:space="preserve">Judith Galeng-Lawilao, B. P. Mallikarjuna Swamy, Tapas Kumer Hore, Arvind Kumar &amp; Dirk De Waele </t>
  </si>
  <si>
    <t>https://link.springer.com/article/10.1007/s11032-020-01137-5</t>
  </si>
  <si>
    <t>Nonlinear Height-DBH Model Analysis For Three Tropical Tree Species In Mt. Makiling, Philippines</t>
  </si>
  <si>
    <t>Nova D Doyog, Roscinto Ian C Lumbres, Feliciano G Calora Jr, Nelson M Pampolina, Michelle D Gamboa, Dante S Chichioco, Young Jin Lee</t>
  </si>
  <si>
    <t>https://www.tandfonline.com/doi/abs/10.1080/10549811.2020.1775653?journalCode=wjsf20</t>
  </si>
  <si>
    <t>Absorption of Lead and Mercury in Dominant Aquatic Macrophytes of Balili River and Its Implication to Phytoremediation of Water Bodies</t>
  </si>
  <si>
    <t>Jones T. Napaldet and Inocencio E. Buot Jr.</t>
  </si>
  <si>
    <t>https://www.ncbi.nlm.nih.gov/pmc/articles/PMC7470480/</t>
  </si>
  <si>
    <t>Distribution and morpho-anatomical characterization of ‘Beket’ (Coriaria japonica subsp. intermedia (Matsum) T. C. Huanh) in Cordillera Central Range, Northern Philippines</t>
  </si>
  <si>
    <t>Maricel Guron and Jones T. Napaldet</t>
  </si>
  <si>
    <t>https://link.springer.com/article/10.1007/s11629-020-6110-7</t>
  </si>
  <si>
    <t>Adoption of Root crop- and Fruit–Based Processing Technologies</t>
  </si>
  <si>
    <t>Esther T. Botangen, Hilda L. Quindara and Joyce K. Mama-o</t>
  </si>
  <si>
    <t>http://portal.bsu.edu.ph:8083/index.php/BRJ/article/view/260</t>
  </si>
  <si>
    <t>Status of Introduced Potato Varieties in Benguet and Mountain Province, Philippines</t>
  </si>
  <si>
    <t>Cynthia G. Kiswa, Gabby K. Dao-ines, Betty T. Gayao</t>
  </si>
  <si>
    <t>http://portal.bsu.edu.ph:8083/index.php/BRJ/article/view/261</t>
  </si>
  <si>
    <t>Gender Roles in Root and Tuber Crops Production in Northern Philippines</t>
  </si>
  <si>
    <t>Dalen T. Meldoz, Betty T. Gayao, and Grace S.  Backian</t>
  </si>
  <si>
    <t>http://portal.bsu.edu.ph:8083/index.php/BRJ/article/view/262</t>
  </si>
  <si>
    <t>Informal Seed System on Greater Yam (Dioscorea Alata): Knowledge and Practices among Indigenous People in Northern Philippines</t>
  </si>
  <si>
    <t>Grace S. Backian, Betty T. Gayao, and Dalen T. Meldoz</t>
  </si>
  <si>
    <t>http://portal.bsu.edu.ph:8083/index.php/BRJ/article/view/263</t>
  </si>
  <si>
    <t>Need-Based and Participatory Approach to Extension: Case of Addressing  Sweetpotato Fusarium Wilt  in Kayapa, Nueva Vizcaya</t>
  </si>
  <si>
    <t>Grace S. Backian, D. T. Meldoz, T. D. Masangcay and C. G. Kiswa</t>
  </si>
  <si>
    <t>http://portal.bsu.edu.ph:8083/index.php/BRJ/article/view/265</t>
  </si>
  <si>
    <t>Teachers’ Preparedness for Inclusive Education</t>
  </si>
  <si>
    <t>Leonila R. Sito</t>
  </si>
  <si>
    <t>http://portal.bsu.edu.ph:8083/index.php/BRJ/article/view/270</t>
  </si>
  <si>
    <t>Information and Communication Technology (ICT) Through PowerPoint Presentation: A Tool in Enhancing Teaching-Learning Process</t>
  </si>
  <si>
    <t>Bretel B. Dolipas, Freda Kate D. Samuel, and Kenneth B. Pakipac</t>
  </si>
  <si>
    <t>http://portal.bsu.edu.ph:8083/index.php/BRJ/article/view/271</t>
  </si>
  <si>
    <t>Knowledge Construction Schemata of Teachers in Solving Real World Non-Routine Problem Situation: Their Implications to Mathematics Education</t>
  </si>
  <si>
    <t>Serano L. Oryan</t>
  </si>
  <si>
    <t>http://portal.bsu.edu.ph:8083/index.php/BRJ/article/view/272</t>
  </si>
  <si>
    <t>Readiness of Preservice Teachers in the 21st Century Teaching Environment</t>
  </si>
  <si>
    <t>Imelda G. Parcasio</t>
  </si>
  <si>
    <t>http://portal.bsu.edu.ph:8083/index.php/BRJ/article/view/273</t>
  </si>
  <si>
    <t>Teaching Practices for Children with Autism (CWA) at Baguio SPED Center</t>
  </si>
  <si>
    <t>Dante M. Miguel</t>
  </si>
  <si>
    <t>http://portal.bsu.edu.ph:8083/index.php/BRJ/article/view/274</t>
  </si>
  <si>
    <t>Performance of Orange-Fleshed Sweetpotato Varieties in Three Agroecological Conditions in Cordillera Administrative Region, Philippines</t>
  </si>
  <si>
    <t>Hilda Quindara, Isidro Awal, Roger Gayumba, and Belinda Tad-awan</t>
  </si>
  <si>
    <t>http://portal.bsu.edu.ph:8083/index.php/BRJ/article/view/264</t>
  </si>
  <si>
    <t>Growth Improvement of 'Grand Rapids' Lettuce using Protected Cultivation under Chilling Conditions in Benguet, Philippines</t>
  </si>
  <si>
    <t>Darwin A. Basquial and Constancio C. De Guzman</t>
  </si>
  <si>
    <t>http://www.thnhmjournal.com/attachments/view/?attach_id=240268</t>
  </si>
  <si>
    <t>Geomorphometric Characterization and Analysis of the Bued Watershed Using Advanced Spaceborne Thermal Emission and Refelection Radiometer - Global Digital Elevation Model V3 through Geospatial Techniques</t>
  </si>
  <si>
    <t>https://philjournalsci.dost.gov.ph/images/pdf/pjs_pdf/vol149no3a/geomorphometric_characterization_and_analysis_of_bued_watershed_.pdf</t>
  </si>
  <si>
    <t>Climate change trends, impacts and adaptation of upland farmers in La Trinidad, Benguet, Philippines</t>
  </si>
  <si>
    <t>Gerryc P. Alfonso &amp; Kenneth A. Laruan</t>
  </si>
  <si>
    <t>www.innspub.net</t>
  </si>
  <si>
    <t xml:space="preserve">Chemical Wastes Management in Stem Academic Laboratories of Baguio City, Philippines: Challenges and intervention scheme </t>
  </si>
  <si>
    <t>Francisco L. Soriano, Luisita L. Ely</t>
  </si>
  <si>
    <t>http://www.tjprc.org/publishpapers/2-56-1603086972-7IJEEFUSAUG20207.pdf</t>
  </si>
  <si>
    <t>Lead and Mercury Uptake in Dominant Macrophytes of Balili River, Benguet, Philippines</t>
  </si>
  <si>
    <t>Jones T. Napaldet &amp; Inocencio Buot, Jr.</t>
  </si>
  <si>
    <t>https://www.researchgate.net/publication/346399182_LEAD_AND_MERCURY_UPTAKE_IN_DOMINANT_MACROPHYTES_OF_BALILI_RIVER_BENGUET_PHILIPPINES</t>
  </si>
  <si>
    <t xml:space="preserve">Vascular Plant Diversity in Benguet State University La Trinidad, Main campus, Philippines: A Status Report and a Database To Support The Attainment of Sustainable Development </t>
  </si>
  <si>
    <t>Jhunedyn M. Antonio, Margarette M. Bacate, Jackson L. Butag, Sheinalene M. Ladoan, Gina D. Vicente,  Jones T. Napaldet</t>
  </si>
  <si>
    <t>https://www.researchgate.net/publication/346398988_VASCULAR_PLANT_DIVERSITY_IN_BENGUET_STATE_UNIVERSITY_LA_TRINIDAD_MAIN_CAMPUS_PHILIPPINES_A_STATUS_REPORT_AND_A_DATABASE_TO_SUPPORT_THE_ATTAINMENT_OF_SUSTAINABLE_DEVELOPMENT/link/5fbfc644a6fdcc6cc66a621d/download</t>
  </si>
  <si>
    <t>Motivation toward teaching and employment profile of the Bachelor of Secondary Education Graduates of Benguet State University</t>
  </si>
  <si>
    <t>Apler J. Bansiong, Dolores E. Alawas, Jingle P. Cuevas, Almon B. Bokilis, Russell B. Dolendo, &amp; Imelda G. Parcasio</t>
  </si>
  <si>
    <t>http://portal.bsu.edu.ph:8083/index.php/BRJ/article/view/275</t>
  </si>
  <si>
    <t xml:space="preserve">Benguet State University High School Students’ Curiosity, Interest, and Perceptions 
on Interactive Manipulatives in Mathematics
</t>
  </si>
  <si>
    <t>Joel V. Lubrica, Serano L. Oryan, Monica S. Alimondo, Julie A. Buasen
Bretel B. Dolipas, Phil S. Ocampo</t>
  </si>
  <si>
    <t>http://portal.bsu.edu.ph:8083/index.php/BRJ/article/view/276</t>
  </si>
  <si>
    <t>HERRC</t>
  </si>
  <si>
    <t>Growing Arabica Coffee in the Mountain: Evolving Production and Marketing Practices in Benguet and Mountain Province</t>
  </si>
  <si>
    <t>Ruth S. Batani, Beverly C. Sa-ao, Kristerlyne S. Manao, Mary An J. Altaki Joel C. Faroden, Gretchen Shagami M. Hudson &amp; Darlyn D. Tagarino</t>
  </si>
  <si>
    <t>http://portal.bsu.edu.ph:8083/index.php/BRJ/article/view/266</t>
  </si>
  <si>
    <t>Competency Appraisal as A Tool in Improving the Board Exam Performance of Benguet State University Bachelor of Science in Forestry Graduates</t>
  </si>
  <si>
    <t>Marissa R. Parao, Elvira Besiic, Bernard Peter Daipan, Nover Matso and Marycel Sajise</t>
  </si>
  <si>
    <t>http://portal.bsu.edu.ph:8083/index.php/BRJ/article/view/277</t>
  </si>
  <si>
    <t xml:space="preserve">Effects of the Different Postharvest Processing Methods on the Occurrence of Ochratoxin A and Cupping Quality of Arabica Coffee  </t>
  </si>
  <si>
    <t>Basalong et al.</t>
  </si>
  <si>
    <t>http://portal.bsu.edu.ph:8083/index.php/BRJ/article/view/267</t>
  </si>
  <si>
    <t>Predicting success in teacher education: Revisiting the influence of high school GPA, admission, and standardized test scores on academic and licensure performance</t>
  </si>
  <si>
    <t>Apler J. Bansiong and Janet Lynn M. Balagtey</t>
  </si>
  <si>
    <t>https://ojs.upsi.edu.my/index.php/JRPPTTE/article/view/2802</t>
  </si>
  <si>
    <t>Germplasm Collection and Varietal Evaluation of Heirloom Rice in Benguet</t>
  </si>
  <si>
    <t>Tad-awan, Belinda et al.</t>
  </si>
  <si>
    <t>http://portal.bsu.edu.ph:8083/index.php/BRJ/article/view/268</t>
  </si>
  <si>
    <t>Utilization of Orange-fleshed Sweetpotatoes to Enhance the B-Carotene Content of Locally Consumed Food Products</t>
  </si>
  <si>
    <t>Hilda Quindara, Ines Gonzales, Esther T. Botangen, Belinda A. Tad-awan</t>
  </si>
  <si>
    <t>http://portal.bsu.edu.ph:8083/index.php/BRJ/article/view/269</t>
  </si>
  <si>
    <t>Rehabilitation of Eutrophic Rivers Through Phytoremediation in Constructed Wetland: The Case of Balili River in Benguet, Philippines</t>
  </si>
  <si>
    <t>https://www.researchgate.net/publication/344672345_Rehabilitation_of_Eutrophic_Rivers_Through_Phytoremediation_in_Constructed_Wetland_The_Case_of_Balili_River_in_Benguet_Philippines</t>
  </si>
  <si>
    <t>Spatial and Productivity Measurements in Traditional Rice-based Ecosystems in Highland Cordillera (Chapter 2) SEARCA, College Laguna</t>
  </si>
  <si>
    <t>Romeo A. Gomez Jr.</t>
  </si>
  <si>
    <t>https://www.searca.org/pubs/books?pid=472</t>
  </si>
  <si>
    <t>The Practice of Power by Regional Managers in the Implementation of an Indigenous Peoples Health Policy in the Philippines</t>
  </si>
  <si>
    <t>Ryan C. Guinaran, Erlinda B. Alupias, Lucy Gilson</t>
  </si>
  <si>
    <t>https://www.ijhpm.com/article_3983_ef01c6de70a485bedbc657da4da63759.pdf</t>
  </si>
  <si>
    <t>Effects of extreme weather events and coping mechanisms of smallholder highland farmers: The case of Typhoon Ompong in Benguet, Philippines</t>
  </si>
  <si>
    <t>https://pas.cafs.uplb.edu.ph/2020/special-issue-vol-103-2020/</t>
  </si>
  <si>
    <t>Local Knowledge on climate hazards, weather forecasts and adaptation strategies: The case of Cool Highlands in Benguet, Philippines</t>
  </si>
  <si>
    <t>Cheryll C. Launio, Ruth S. Batani, Christita P. Galagal, and Kacy O. Labon</t>
  </si>
  <si>
    <t>Growth, Morphological and Yield Characteristics of Five Potato (Solanum Tuberosum L) varieties Treated with Organic-Based Fertilizers</t>
  </si>
  <si>
    <t>Clement Michael, Belinda A. Tad-awan, Timothy Oluwafemi Ajiboye, Ighere Dickson</t>
  </si>
  <si>
    <t>https://www.sumerianz.com/pdf-files/sjav3(4)46-53.pdf</t>
  </si>
  <si>
    <t>Initiatives of Faculty Members in the Integration of IKS in the Tertiary Level Curriculum of Benguet State University</t>
  </si>
  <si>
    <t>Gigy G. Banes and Krisine Baniqued-Dela Cruz</t>
  </si>
  <si>
    <t>Policy Brief</t>
  </si>
  <si>
    <t>Reinforcement of Political Engagement Among BSU Learners</t>
  </si>
  <si>
    <t>CA (Grad. School)</t>
  </si>
  <si>
    <t>Community-driven Metadata Standards for Agricultural Microbione Research</t>
  </si>
  <si>
    <t>J. P. Dundore-Arias, E. A. Eloe-Fadrosh, L. M. Schriml, G. A. Beattie, F. P. Brennan, P. E. Busby, R. B. Calderon, S. C. Castle, J. B. Emerson, S. E. Everhart, K. Eversole, K. E. Frost, J. R. Herr, A. I. Huerta, A. S. Iyer-Pascuzzi, A. K. Kalil, J. E. Leach, J. Leonard, J. E. Maul, B. Prithiviraj, M. Potrykus, N. R. Redekar, J. A. Rojas, K. A. T. Silverstein, D. J. Tomso, S. G. Tringe, B. A. Vinatzer, and L. L. Kinkel</t>
  </si>
  <si>
    <t>https://doi.org/10.1094/PBIOMES-09-19-0051-P</t>
  </si>
  <si>
    <t>Library usage by faculty members of Benguet State University</t>
  </si>
  <si>
    <t>Noel W. Cabfilan and Marjorie C. Ricardo</t>
  </si>
  <si>
    <t>https://www.researchgate.net/profile/Noel-Cabfilan/publication/350153320_LIBRARY_USAGE_BY_FACULTY_MEMBERS_OF_BENGUET_STATE_UNIVERSITY/links/6053714192851cd8ce4f6d4c/LIBRARY-USAGE-BY-FACULTY-MEMBERS-OF-BENGUET-STATE-UNIVERSITY.pdf</t>
  </si>
  <si>
    <t>Fitting and evaluation of height-diameter models for Alnus japonica in La Trinidad, Benguet, Philippines</t>
  </si>
  <si>
    <t xml:space="preserve">Roscinto Ian C. Lumbres, Nova D. Doyog, Kamae P. Anacioco, Judy Ann L. Gorio, Mary Relia S. Padsico, Young Jin Lee </t>
  </si>
  <si>
    <t>Height- DBH model, Alnus japonica, Rank analysis, La Trinidad, Benguet, Philippines </t>
  </si>
  <si>
    <t>https://doi.org/10.1007/s11629-018-4866-9</t>
  </si>
  <si>
    <t>Effects of Long-Term Subcultured Arbuscular Mycorrhizal Fungi on Red Pepper Plant Growth and Soil Glomalin Content</t>
  </si>
  <si>
    <t xml:space="preserve">Gopal Selvakumar, Pyoung Ho Yi, Seong Eun Lee, Charlotte C. Shagol, Seung Gab Han, Tongmin Sa &amp; Bong Nam Chung
</t>
  </si>
  <si>
    <t>Arbuscular mycorrhizal fungi; Claroideoglomus; Gigaspora; glomalin; pepper</t>
  </si>
  <si>
    <t>https://doi.org/10.1080/12298093.2018.1461315</t>
  </si>
  <si>
    <t>Students' Understanding of Physics Concepts, Attitude, Engagement, and Perceptions in a Flipped Classroom Environment</t>
  </si>
  <si>
    <t>Ederson Bawang and Maricar Prudente</t>
  </si>
  <si>
    <t xml:space="preserve">Attitude; Flipped Classroom; Student Engagement; Student Understanding
</t>
  </si>
  <si>
    <t>https://doi.org/10.1166/asl.2018.12463</t>
  </si>
  <si>
    <t>First Report of Strawberry Necrotic Shock Virus in Strawberry in Benguet, Philippines</t>
  </si>
  <si>
    <t>Aurora F. Pinon and R.R.Martin</t>
  </si>
  <si>
    <t>DNA sequencing, ELISA, geographical distribution, new geographic records, pathogens, plant diseases, plant pathogens, plant viruses, polymerase chain reaction, strawberries</t>
  </si>
  <si>
    <t>https://doi.org/10.1094/PDIS-03-18-0491-PDN</t>
  </si>
  <si>
    <t>Mapping of the spatial distribution of carbon storage of the Pinus kesiya Royle ex Gordon (Benguet pine) forest in Sagada, Mt. Province, Philippines</t>
  </si>
  <si>
    <t xml:space="preserve">Nova D. Doyog, Roscinto Ian C. Lumbres and Young Jin Lee </t>
  </si>
  <si>
    <t>Pinus kesiya, k-NN, AGB, AGC, Sagada, Philippines</t>
  </si>
  <si>
    <t>https://doi.org/10.1080/10549811.2018.1450155</t>
  </si>
  <si>
    <t>Fishes and Shell Diversity in Major Rivers of Benguet, Philippines</t>
  </si>
  <si>
    <t>Erlinda Bestre, Jones T. Napaldet, Arsenia M. Lumiquio</t>
  </si>
  <si>
    <t>Benguet, diversity, freshwater fishes, shells</t>
  </si>
  <si>
    <t>https://www.researchgate.net/profile/Jones-Napaldet/publication/332980134_FISHES_AND_SHELL_DIVERSITY_IN_MAJOR_RIVERS_OF_BENGUET_PHILIPPINES/links/5cd54687299bf14d95877bbb/FISHES-AND-SHELL-DIVERSITY-IN-MAJOR-RIVERS-OF-BENGUET-PHILIPPINES.pdf</t>
  </si>
  <si>
    <t>Reflecting on the Book of Alvesson and Skoldberg’ Reflexive Methodology: New Insights and its Importance in Qualitative Studies</t>
  </si>
  <si>
    <t>Reflexive Research, Qualitative Method, Reflexivity, Research Procedures</t>
  </si>
  <si>
    <t>https://core.ac.uk/download/pdf/215364683.pdf</t>
  </si>
  <si>
    <t>Articulating the University's Vision and Mission and CAS Goals among Stakeholders</t>
  </si>
  <si>
    <t>Samuel S. Poliden, and Lourdes A. Bela-o</t>
  </si>
  <si>
    <t>Awareness, Congruency, Comprehensibility, Attainability, University Vision and Mission</t>
  </si>
  <si>
    <t>https://d1wqtxts1xzle7.cloudfront.net/60193391/Articulating_VM...._published_article20190802-48056-mtagnt-libre.pdf?1564810479=&amp;response-content-disposition=inline%3B+filename%3DARTICULATING_THE_UNIVERSITYS_VISION_AND.pdf&amp;Expires=1710994861&amp;Signature=AklegZ0O923XJcRBsNDag~Qc6iSqmDw-o7IHrjUGy4W~AjPyDIBPh-~biTOqUyS6sBWCcQuJzKy-u6cl-83CTEz2a-Cnh2dP7SEUsxNoqU6QTf8Nv0EhSehFqOvqY~~tmKScnQkZz5jn6jIv1RNTIGelR4AL0zxtOfWLvr8fUNfYihBEwuowf0zy0l3rNhVhu0LgG-bHDa360CJmEDCjQi-OCXDcJHvHGKEr4BD0b74W5VujOUKofteKeQP5y9VItXHXZNdLwCWx2vK5pjezOUrGNhDOlBCNgWn-n0OM2dhKiW7f6dXB9rWOq5fKr-kIIHXj2ViE2BXPNKFSoP73nA__&amp;Key-Pair-Id=APKAJLOHF5GGSLRBV4ZA</t>
  </si>
  <si>
    <t>Waste Handling Practices and Values of University Student</t>
  </si>
  <si>
    <t>Bretel B. Dolipas, Jennifer Lyn S. Ramos, Monica S. Alimondo, Carmelo Madinno</t>
  </si>
  <si>
    <t xml:space="preserve">Disposal, Home origin, Segregation, Student values, Waste handling
</t>
  </si>
  <si>
    <t>https://athensjournals.gr/health/2018-5-3-3-Dolipas.pdf</t>
  </si>
  <si>
    <t>Contextualizing Teaching Practices in a Diversified Classroom: An Assessment</t>
  </si>
  <si>
    <t>Percyveranda Lubrica, Janet Lynn Montemayor, Evelyn Angiwan and Arnulfo Capili</t>
  </si>
  <si>
    <t>cognitive preference modality, pedagogical approach, classroom diversity, teaching practices, differentiated instruction</t>
  </si>
  <si>
    <t>https://www.eurrec.org/ijote-article-6837</t>
  </si>
  <si>
    <t>Motivation of Secondary Mathematics Pre-Service Teachers in Choosing Mathematics as Their Career</t>
  </si>
  <si>
    <t>Carmelo W. Madinno</t>
  </si>
  <si>
    <t>Career Motivation; Mathematics Education; Pre-Service Teachers</t>
  </si>
  <si>
    <t>https://doi.org/10.1166/asl.2018.12448</t>
  </si>
  <si>
    <t>Spore Associated Bacteria Regulates Maize Root K+/Na+ Ion Homeostasis to Promote Salinity Tolerance during Arbuscular Mycorrhizal Symbiosis</t>
  </si>
  <si>
    <t xml:space="preserve">Gopal Selvakumar, Charlotte C. Shagol, Kiyoon Kim, Seunggab Han and Tongmin Sa
</t>
  </si>
  <si>
    <t>Arbuscular mycorrhizal fungi, Spore associated bacteria, Plant-microbe interaction, gfp-tagging, Endophytic localization, Salt stress</t>
  </si>
  <si>
    <t>https://doi.org/10.1186/s12870-018-1317-2</t>
  </si>
  <si>
    <t>Tracing Trends, Challenges and Prospects in Theses on English as a Second Language</t>
  </si>
  <si>
    <t>Kara S. Panolong</t>
  </si>
  <si>
    <t xml:space="preserve">content analysis, graduate student research, trends in English, gaps in ESL research </t>
  </si>
  <si>
    <t>https://www.elejournals.com/1849/asian-efl-journal/the-asian-efl-journal-quarterly-volume-20-issue-12-4-december-2018/</t>
  </si>
  <si>
    <t>CSS/CNS</t>
  </si>
  <si>
    <t>INDIGENOUS KNOWLEDGE AND PRACTICES RELATED TO FRESHWATER FISHES, SHELLS AND OTHER AQUATIC MACROFAUNA IN BENGUET, LUZON, PHILIPPINES</t>
  </si>
  <si>
    <t>Ruth S. Batani, Romeo A. Gomez, Jr. and Jones T. Napaldet</t>
  </si>
  <si>
    <t>Benguet Province, fishes and shells, indigenous practices</t>
  </si>
  <si>
    <t>https://www.researchgate.net/profile/Jones-Napaldet/publication/332979892_INDIGENOUS_KNOWLEDGE_AND_PRACTICES_RELATED_TO_FRESHWATER_FISHES_SHELLS_AND_OTHER_AQUATIC_MACROFAUNA_IN_BENGUET_LUZON_PHILIPPINES/links/5cd5462492851c4eab919fed/INDIGENOUS-KNOWLEDGE-AND-PRACTICES-RELATED-TO-FRESHWATER-FISHES-SHELLS-AND-OTHER-AQUATIC-MACROFAUNA-IN-BENGUET-LUZON-PHILIPPINES.pdf</t>
  </si>
  <si>
    <t>QTL mapping for resistance to and tolerance for the rice root-knot nematode, Meloidogyne graminicola</t>
  </si>
  <si>
    <t>Judith Galeng-Lawilao, Arvind Kumar, Dirk De Waele</t>
  </si>
  <si>
    <t>Asian Rice, breeding, Meloidogyne graminicola, Oryza sativa, QTLs resistance, Rice root-knot nematode, tolerance</t>
  </si>
  <si>
    <t>https://doi.org/10.1186/s12863-018-0656-1</t>
  </si>
  <si>
    <t>Water Quality Assessment of Major River Systems in Benguet Province, Philippines</t>
  </si>
  <si>
    <t>Jones T. Napaldet, Erlinda C. Bestre, Arsenia M. Lumiquio</t>
  </si>
  <si>
    <t>river systems, water quality assessment</t>
  </si>
  <si>
    <t>https://www.researchgate.net/profile/Jones-Napaldet/publication/332980130_WATER_QUALITY_ASSESSMENT_OF_MAJOR_RIVER_SYSTEMS_IN_BENGUET_PROVINCE_PHILIPPINES/links/5cd545ed458515712ea10dfc/WATER-QUALITY-ASSESSMENT-OF-MAJOR-RIVER-SYSTEMS-IN-BENGUET-PROVINCE-PHILIPPINES.pdf</t>
  </si>
  <si>
    <t>Differences in leaf sizes and stomatal distribution along the leaf spiral of Benguet Lily (Lilium philippinense Baker)</t>
  </si>
  <si>
    <t>Benguet lily (Lilium philippinense Baker), leaf spiral, stomatal density</t>
  </si>
  <si>
    <t>https://www.researchgate.net/profile/Jones-Napaldet/publication/329268064_Differences_in_leaf_sizes_and_stomatal_distribution_along_the_leaf_spiral_of_Benguet_Lily_Lilium_philippinense_Baker/links/5bff91a3299bf1a3c1558446/Differences-in-leaf-sizes-and-stomatal-distribution-along-the-leaf-spiral-of-Benguet-Lily-Lilium-philippinense-Baker.pdf</t>
  </si>
  <si>
    <t>Biomass Characterization and Allometric Model Development for Aboveground Carbon Stock of Benguet Pine (Pinus kesiya)</t>
  </si>
  <si>
    <t>allometric model, carbon sequestration, Pinus kesiya</t>
  </si>
  <si>
    <t>https://ovcre.uplb.edu.ph/journals-uplb/index.php/EDJ/article/view/236</t>
  </si>
  <si>
    <t>ISRD/CA</t>
  </si>
  <si>
    <t>Factors Influencing Adoption of Selected Peanut Protection and Production Technologies in Northern Luzon, Philippines</t>
  </si>
  <si>
    <t>Cheryll C. Launio, Janet S. Luis, and Yolanda B. Angeles</t>
  </si>
  <si>
    <t>The peanut technology adoption, Pesticide adoption, Seed inoculant adoption, Seed treatment adoption</t>
  </si>
  <si>
    <t>https://doi.org/10.1016/j.techsoc.2018.05.007</t>
  </si>
  <si>
    <t>Height-Age Model and Site Index Curves for Acacia mangium and Eucalyptus Pellita in Indonesia</t>
  </si>
  <si>
    <t>Roscinto Ian C. Lumbres, Nova D. Doyog, Young Jin Lee, Yeon Ok Seo and Yeong Mo Son</t>
  </si>
  <si>
    <t>Chapman-Richards function, dominant height, site evaluation, site quality, tropical forest plantation</t>
  </si>
  <si>
    <t>https://doi.org/10.1080/21580103.2018.1452798</t>
  </si>
  <si>
    <t>Arbuscular mycorrhizal fungi spore propagation using single spore as starter inoculum and a plant host</t>
  </si>
  <si>
    <t>Charlotte C. Shagol, Selvakumar Gopal,  Yeongyeong Kang, Bong Nam Chung, Seung Gab Han, Sa Tong-Min</t>
  </si>
  <si>
    <t>Funneliformis mosseae ; Gigaspora margarita ; AMF propagation; biofertilizer; mass production</t>
  </si>
  <si>
    <t>https://doi.org/10.1111/jam.13714</t>
  </si>
  <si>
    <t>Factors Affecting Performance in Statistics of Benguet State University College Students</t>
  </si>
  <si>
    <t>Precious M. Valentin, Marycel T. Sajise</t>
  </si>
  <si>
    <t>https://iase-web.org/icots/10/proceedings/pdfs/ICOTS10_C304.pdf</t>
  </si>
  <si>
    <t>Simultaneous Modeling of Rainfall Quantity and Incidence in Pangasinan Using Poisson-Gamma Distribution</t>
  </si>
  <si>
    <t>J.R. Miguel, Marycel Sajise</t>
  </si>
  <si>
    <t>https://iase-web.org/icots/10/proceedings/pdfs/ICOTS10_C305.pdf</t>
  </si>
  <si>
    <t>Design, Fabrication, and Performance Evaluation of a Motorized Cocoon Deflossing Machine</t>
  </si>
  <si>
    <t>Mirafel T. Afuyog, Lester Clyde B. Angel, Joanna B. Cadao</t>
  </si>
  <si>
    <t>motorized deflossing machine, performance evaluation, silk production, design and fabrication machine</t>
  </si>
  <si>
    <t>http://portal.bsu.edu.ph:8083/index.php/BRJ/article/view/152</t>
  </si>
  <si>
    <t>Water Yield of a Fog Harvester as Affected by Mesh Material and its Orientation</t>
  </si>
  <si>
    <t>Editha D. Carlos, Donalyn M. Macaburas, Diostonee A. Balinte</t>
  </si>
  <si>
    <t>fog harvester, water stress, irrigation, water yield, design and fabrication of machine</t>
  </si>
  <si>
    <t>http://portal.bsu.edu.ph:8083/index.php/BRJ/article/view/153</t>
  </si>
  <si>
    <t>Pre-emptive Management Approach of Coffee Berry Borer (Hypothenemus hampei Ferrari) in Arabicca Coffee (Coffea arabica Linnaeus) in Atok, Benguet</t>
  </si>
  <si>
    <t>Bonie S. Ligat, Sr. and Jimmer John C. Bisaya</t>
  </si>
  <si>
    <t>pre-emptive management approach, coffee berry borer, arabica coffee, coffee production</t>
  </si>
  <si>
    <t>http://portal.bsu.edu.ph:8083/index.php/BRJ/article/view/159</t>
  </si>
  <si>
    <t>Mycelial Growth of Scleroderma sp. as Affected by Culture Media</t>
  </si>
  <si>
    <t xml:space="preserve">Bernard S. Tad-awan and Winslet J. Ramos </t>
  </si>
  <si>
    <t>Ectomycorrhizal mushroom, Scleroderma sp., cultivation, culture medium and protocol</t>
  </si>
  <si>
    <t>http://portal.bsu.edu.ph:8083/index.php/BRJ/article/view/154</t>
  </si>
  <si>
    <t>CA/CIS</t>
  </si>
  <si>
    <t>"Wat Ta Iman Supsuplay (We Are But Supplied Farmers)": Understanding the Practice of Pasuplay System on Vegetable Production in Madaymen, Kibungan, Benguet</t>
  </si>
  <si>
    <t>Nora C. Sagayo and Roji Mae B. Lorenzo</t>
  </si>
  <si>
    <t>Pasuplay system, supplier supplied farmer, agricultural production, feudalistic relationships, theories of empowerment</t>
  </si>
  <si>
    <t>http://portal.bsu.edu.ph:8083/index.php/BRJ/article/view/155</t>
  </si>
  <si>
    <t>Purging the Tunnels: Decision-Making Process of Kabayan Indigenous Peoples Community on Hydro Electric Power Project (HEPP)</t>
  </si>
  <si>
    <t>Paul Joseph A. Nuval and Aurita S. Budikey</t>
  </si>
  <si>
    <t>indigenous people, development projects, participatory communication theory, decision-making process, hydro-electric power project</t>
  </si>
  <si>
    <t>http://portal.bsu.edu.ph:8083/index.php/BRJ/article/view/156</t>
  </si>
  <si>
    <t>Training Design Facilitation Framework for Adult Education: An Application of Andragogy</t>
  </si>
  <si>
    <t>Imelda G. Parcasio and Joanne B. Aliping</t>
  </si>
  <si>
    <t>andragogy, training design, facilitation approaches, adult learning, adult education</t>
  </si>
  <si>
    <t>http://portal.bsu.edu.ph:8083/index.php/BRJ/article/view/157</t>
  </si>
  <si>
    <t>Multi-Grade Intermediate Mathematics Teaching Schemes: The Case of Education in the District of Tublay, Benguet</t>
  </si>
  <si>
    <t xml:space="preserve">Esper L. Feliciano and Jorenz A. Belleza </t>
  </si>
  <si>
    <t>multi-grade, multi-grade teaching schemes, mathematics, combined grade level, mono-grade vs. multi-grade education</t>
  </si>
  <si>
    <t>http://portal.bsu.edu.ph:8083/index.php/BRJ/article/view/160</t>
  </si>
  <si>
    <t>Mobile Learning: Its Effect on the Performance of Grade 9 Studenzts on Unreal Conditionals</t>
  </si>
  <si>
    <t>Kara S.Panolong and Warren L. Ambat</t>
  </si>
  <si>
    <t>mobile learning, unreal conditionals, grammar, if-clause statements, interactive learning</t>
  </si>
  <si>
    <t>http://portal.bsu.edu.ph:8083/index.php/BRJ/article/view/158</t>
  </si>
  <si>
    <t>Makibaa: The Living Out Experiences among the iMiligan of Upper Bauko, Mountain Province</t>
  </si>
  <si>
    <t>Leonardo L. Samonte</t>
  </si>
  <si>
    <t>Makibaa, baa, iMiligan, Igorots, Living out, Foster child, foster parent</t>
  </si>
  <si>
    <t>http://portal.bsu.edu.ph:8083/index.php/BRJ/article/view/126</t>
  </si>
  <si>
    <t xml:space="preserve">Reflections and Learning: A Case Study on Students' Community Health Nursing Immersion </t>
  </si>
  <si>
    <t>Jude L. Tayaben, Maureen E. Gay-as, Jonalyn S. Esco, and Carol Ruth L. Valles</t>
  </si>
  <si>
    <t>Community health nursing, reflective journals, student nurses, immersion, Nursing education</t>
  </si>
  <si>
    <t>http://portal.bsu.edu.ph:8083/index.php/BRJ/article/view/127</t>
  </si>
  <si>
    <t>Math Teaching Readiness of Secondary Mathematics Pre-Service Teachers in the Cordillera Administrative Region</t>
  </si>
  <si>
    <t>Teaching readiness, pre-service teachers, math education, career choice</t>
  </si>
  <si>
    <t>http://portal.bsu.edu.ph:8083/index.php/BRJ/article/view/128</t>
  </si>
  <si>
    <t>Five-Year Performance of the Teacher Education Graduates in the Licensure Examination for Teachers</t>
  </si>
  <si>
    <t>Desiree F.Botengan, Apler J. Bansiong, and Rosita B. Kudan</t>
  </si>
  <si>
    <t>Teacher education, curricular effectiveness, licensure performance, passing rates, teacher education specialization, first-time takers</t>
  </si>
  <si>
    <t>http://portal.bsu.edu.ph:8083/index.php/BRJ/article/view/129</t>
  </si>
  <si>
    <t>Determinants in Choosing Political Candidates among Benguet State University Students</t>
  </si>
  <si>
    <t>Voting determinants, elections, elective positions, youth vote, election candidates</t>
  </si>
  <si>
    <t>http://portal.bsu.edu.ph:8083/index.php/BRJ/article/view/130</t>
  </si>
  <si>
    <t>Flight for Conservation: The Birds of Benguet State University Land Reservations, La Trinidad, Benguet</t>
  </si>
  <si>
    <t>Gerry M. Alfonso</t>
  </si>
  <si>
    <t>Birds, eco class, endemic species, indigenous species, exotic bird species, bird population trend</t>
  </si>
  <si>
    <t>http://portal.bsu.edu.ph:8083/index.php/BRJ/article/view/131</t>
  </si>
  <si>
    <t>Stem volume models for Cryptomeria japonica of Jeju Island, Korea</t>
  </si>
  <si>
    <t xml:space="preserve">Nova D. Doyog, Roscinto Ian C. Lumbres, Young Jin Lee, Sung Cheol Jung, Yeon Ok Seo </t>
  </si>
  <si>
    <t>Stem volume, model selection, model ranking, Jeju Island, Cryptomeria japonica</t>
  </si>
  <si>
    <t>https://doi.org/10.1080/10549811.2019.1570273</t>
  </si>
  <si>
    <t>Review of Mixed Methods Research in Nursing
Methodological Issues and Future Directions</t>
  </si>
  <si>
    <t>Jude L. Tayaben, Younas, Ahtisham; Pedersen, Maria</t>
  </si>
  <si>
    <t>data integration, mixed methods, prevalence review, research methods</t>
  </si>
  <si>
    <t>https://doi.org/10.1097/nnr.0000000000000372</t>
  </si>
  <si>
    <t>Diversity of aquatic macrophytes in Balili River, La Trinidad,Benguet, Philippinesas potential phytoremediators</t>
  </si>
  <si>
    <t>Jones T. Napaldet and Inocencio E. Buot, Jr.</t>
  </si>
  <si>
    <t>Balili River, diversity indices, macrophytes, phytoremediation</t>
  </si>
  <si>
    <t>https://doi.org/10.13057/biodiv/d200416</t>
  </si>
  <si>
    <t>Effect of phytoremediation on the morpho-anatomical characters of some aquatic macrophytes</t>
  </si>
  <si>
    <t>Jones T. Napaldet and Inocencio E. Buot, Jr., Macrina T. Zafaralla, Ireneo L. Lit, Jr., Rachel C. Sotto</t>
  </si>
  <si>
    <t xml:space="preserve">Amaranthus spinosus, Eichhornia crassipes, Eleusine indica, morpho-anatomical, Pennisetum purpureum, phytoremediation </t>
  </si>
  <si>
    <t>https://doi.org/10.13057/biodiv/d200519</t>
  </si>
  <si>
    <t>Treatment of Balili River in Benguet, Philippines with constructed wetland planted with dominant local macrophytes</t>
  </si>
  <si>
    <t>Phytoremediation, constructed wetland, Balili River, aquatic macrophytes, hydraulic retention time</t>
  </si>
  <si>
    <t>https://doi.org/10.1080/15226514.2019.1633268</t>
  </si>
  <si>
    <t xml:space="preserve">Information Literacy (IL) of College Freshmen: Implications for an IL Program in Academic Libraries </t>
  </si>
  <si>
    <t>Grace D. Quijano</t>
  </si>
  <si>
    <t xml:space="preserve">Academic libraries, College freshmen, Information literacy </t>
  </si>
  <si>
    <t>https://digitalcommons.unl.edu/libphilprac/2502/</t>
  </si>
  <si>
    <t>ICT</t>
  </si>
  <si>
    <t>E-learning roadmap for open distance learning in Cordillera Administrative Region</t>
  </si>
  <si>
    <t xml:space="preserve">Paul G. Garcia, Jr., D. H. Galeon, .J dela Cruz </t>
  </si>
  <si>
    <t>Proceedings</t>
  </si>
  <si>
    <t>https://iopscience.iop.org/article/10.1088/1757-899X/482/1/012012</t>
  </si>
  <si>
    <t xml:space="preserve">Yield improvement with compost amendment and Trichoderma microbial inoculant (TMI) in rice paddies inundated by copper-rich mine tailings </t>
  </si>
  <si>
    <t xml:space="preserve">Cirilo A. Lagman, Jr., Virginia C. Cuevas,  Xavier Anupo, Joey I. Orajay, and Frances G.E. Malamnao </t>
  </si>
  <si>
    <t>mine tailings, Cu, rice, compost, Trichoderma, remediation</t>
  </si>
  <si>
    <t>https://scienggj.org/2019/PSL%202019-vol12-no01-p31-38-Cuevas%20et%20al.pdf</t>
  </si>
  <si>
    <t xml:space="preserve">Comparison of the penetration, development and reproduction of Meloidogyne graminicola, and analysis of lignin and total phenolic content in partially resistant and resistant recombinant inbred lines of Oryza sativa </t>
  </si>
  <si>
    <t>Judith Galeng-Lawilao, Arvind Kumar, Ma. Teodora Nadong Cabasan, Dirk De Waele</t>
  </si>
  <si>
    <t>Plant traits, Rice breeding, Root galls, Susceptibility </t>
  </si>
  <si>
    <t>https://doi.org/10.1007/s40858-018-0267-4</t>
  </si>
  <si>
    <t>Mastery Learning of Chemistry Competencies through the Spiral Progression Approach in Curriculum</t>
  </si>
  <si>
    <t>Chemistry Achievement Test (CAT), Learning Competencies, Mastery Learning, Spiral Progression Approach &amp; Level of Mastery of Competencies</t>
  </si>
  <si>
    <t>https://d1wqtxts1xzle7.cloudfront.net/61150869/2.IJESROCT2019220191106-91385-1uucheb-libre.pdf?1573112958=&amp;response-content-disposition=inline%3B+filename%3DMASTERY_LEARNING_OF_CHEMISTRY_COMPETENCI.pdf&amp;Expires=1711014388&amp;Signature=b1DGXskweyBmU7B83JOeJGzO2EZZgWMHnhqvUXMr9jx0cp~xaJ1JzrreYzvw5zIK22CamYUgdKLFIkK0F6DRxW75sCQdVMtkEub38IAvZ1XrtZycUYF~VfM9FdRH7pb6xLwHdS0EOhfbFWlPq6CTKVeXxtZVx43QwwqqVl5TWHmbrfGD7PUdgxL7FJ-AmYfGNesyKLRkXL8ueR-VeMYBAeLBPJVzGMPNKyz4JsUWnLMC01XC4j8CcNa0zKE5q~Mhle78RLidmOOzglii6MhdqvEbS~Xlhk3wdGyBW87I0XbMvG8biE4NwGAdFACWdSYb6e-2ph5-Zi~QceMoLGGehg__&amp;Key-Pair-Id=APKAJLOHF5GGSLRBV4ZA</t>
  </si>
  <si>
    <t>Design, Construction and Performance Evaluation of a Coco Peat Block Making Machine</t>
  </si>
  <si>
    <t>Zion Jemillinium S. Tam-awen,  Rackielyn B. Piscador, Mirafel T. Afuyog</t>
  </si>
  <si>
    <t>Coco Peat, Compression Ratio, Moisture Content, Blocking Capacity, Bulk Density</t>
  </si>
  <si>
    <t>https://pdfs.semanticscholar.org/3718/8e3a14e1a6c1d9c08d265e00710f0f79c143.pdf</t>
  </si>
  <si>
    <t>Effect of Pollarding on the Survival Rate, Quantity and Sizeof Developed Branches of One-Year Old 'Beltik' and 'Dael' Seedlings</t>
  </si>
  <si>
    <t>John G. Tacloy</t>
  </si>
  <si>
    <t>Not available</t>
  </si>
  <si>
    <t>http://dx.doi.org/10.33680/plsa.2019.020</t>
  </si>
  <si>
    <t xml:space="preserve">SMS-Based ICT Tool for Knowledge Sharing in Agriculture </t>
  </si>
  <si>
    <t>Dario H. Galeon, Paul G. Garcia Jr., Thelma D. Palaoag</t>
  </si>
  <si>
    <t>knowledge exchange and sharing; ICT tool in agriculture; short messaging system; SMS; text messaging</t>
  </si>
  <si>
    <t>https://www.researchgate.net/profile/Thelma-Palaoag/publication/331479058_SMS-based_ICT_tool_for_knowledge_sharing_in_agriculture/links/5da86bb1299bf1c1e4c9947b/SMS-based-ICT-tool-for-knowledge-sharing-in-agriculture.pdf</t>
  </si>
  <si>
    <t>The current state of Nursing Informatics – An international cross-sectional survey</t>
  </si>
  <si>
    <t>Jude L. Tayaben, Peltonen, L.-M., Pruinelli, L., Ronquillo, C., Nibber, R., Peresmitre, E. L., Block, L., Deforest, H., Lewis, A., Alhuwail, D., Ali, S., Badger, M. K., Eler, G. J., Georgsson, M., Islam, T., Jeon, E., Jung, H., Kuo, C. H., Sarmiento, R. F. R., Sommer, J. A., &amp; Topaz, M.</t>
  </si>
  <si>
    <t>nursing informatics, surveys and questionnaires, nursing education, informatics competencies</t>
  </si>
  <si>
    <t>https://doi.org/10.23996/fjhw.77584</t>
  </si>
  <si>
    <t xml:space="preserve">Readability, Content and Mechanical Feature Analysis of Selected Commerical Science Textbooks Intended for Third Grade Filipino Learners </t>
  </si>
  <si>
    <t>Commercial science textbooks, readability analysis, content analysis, content alignment, gender, conceptual problems</t>
  </si>
  <si>
    <t>https://doi.org/10.1080/2331186X.2019.1706395</t>
  </si>
  <si>
    <t>Development of Organic Fertilizer Products and Systems to Improve Soil Fertility. Of Organic Vegetable Production of Cabbage in Benguet, Philippines</t>
  </si>
  <si>
    <t>Carlito P. Laurean</t>
  </si>
  <si>
    <t>organic fertilizers, conversion, mineralization, nutrient management</t>
  </si>
  <si>
    <t>http://portal.bsu.edu.ph:8083/index.php/BRJ/article/view/170</t>
  </si>
  <si>
    <t>Physico-Chemical Characteristics of Selected Tributaries of Didipio, Eastern Nueva Vizcaya, Philippines</t>
  </si>
  <si>
    <t>Ryan P. Manuel</t>
  </si>
  <si>
    <t>freshwater, impairment, water quality standards, Didipio</t>
  </si>
  <si>
    <t>http://portal.bsu.edu.ph:8083/index.php/BRJ/article/view/171</t>
  </si>
  <si>
    <t>Teaching Strategy to Enhance Information and Communication Technology (ICT) Instructional Skills</t>
  </si>
  <si>
    <t>Divina M. Yango</t>
  </si>
  <si>
    <t>Information and Communication Technology(ICT), Instructional Skills, Face-to-face mode, blended learning</t>
  </si>
  <si>
    <t>http://portal.bsu.edu.ph:8083/index.php/BRJ/article/view/172</t>
  </si>
  <si>
    <t xml:space="preserve">Information and Communication Technology Instructional Skills' Needs of Pre-Service Teachers </t>
  </si>
  <si>
    <t xml:space="preserve">Elizabeth A. Lascano </t>
  </si>
  <si>
    <t>Information and Communication Technology(ICT), Pre-service Teachers, Instructional Skills, ICT needs, Digital tools</t>
  </si>
  <si>
    <t>http://portal.bsu.edu.ph:8083/index.php/BRJ/article/view/173</t>
  </si>
  <si>
    <t>Climate Change Experiences and the Role of Community Values in Climate Change Adaptation: Focus on Women Farmers of Sitio Legleg, Palina, Kibungan, Benguet</t>
  </si>
  <si>
    <t xml:space="preserve">Ann Heather B. KIwang </t>
  </si>
  <si>
    <t>Climate change, women farmers, adaptation, community values, culture</t>
  </si>
  <si>
    <t>http://portal.bsu.edu.ph:8083/index.php/BRJ/article/view/174</t>
  </si>
  <si>
    <t>Living Outside the Bars: The Lived Experiences of Family Members of Offenders in Baguio and Benguet, Philippines</t>
  </si>
  <si>
    <t>Kreanjel Lei B. Guinto, Chelsea Mae G. Kim, Guerly Joy L. Bab-ating and Lawrence C. Carranto</t>
  </si>
  <si>
    <t>stigma, crime, offender, incarceration, family members</t>
  </si>
  <si>
    <t>http://portal.bsu.edu.ph:8083/index.php/BRJ/article/view/175</t>
  </si>
  <si>
    <t>Notes on Liverwort Specimens from the Philippine Cordilleras in the Botanical Herbarium of the UPLB Museum of Natural History (CAHUP)</t>
  </si>
  <si>
    <t>Eugene L.R. Logatoc, Annalee S. Hadsall, Pastor L. Malabrigo, Jr. and William Sm. Gruezo</t>
  </si>
  <si>
    <t>Herbarium, natural history collections, Philippine flora, bryophytes, liverworts</t>
  </si>
  <si>
    <t>http://portal.bsu.edu.ph:8083/index.php/BRJ/article/view/176</t>
  </si>
  <si>
    <t>Comparison of Floral Diversity of Pine Forest, Agroforestry and Agricultural Land-Uses in Talinguroy Research Stattion, Benguet State University, Northen, Philippines</t>
  </si>
  <si>
    <t>Maricel A. Guron, Rey G. Lumpio, Jones T. Napaldet</t>
  </si>
  <si>
    <t>endemic, indigenous species, biodiversity indices, human disturbance</t>
  </si>
  <si>
    <t>http://portal.bsu.edu.ph:8083/index.php/BRJ/article/view/177</t>
  </si>
  <si>
    <t>Damage Assessment of Bark Beetle Infestations on Benguet Pine (Pinus kesiya Ryle ex Gordon) in Camp John Hay, Baguio City, Philippines</t>
  </si>
  <si>
    <t>Marissa R. Parao, Paquito P. Untalan, Bonie S. Ligat, Casiano S. Pagadan, Leon B. Tanguid</t>
  </si>
  <si>
    <t>Bark Beetle, Ips and Decroctonus species, Pinus kesiya, tree health, damage assessment</t>
  </si>
  <si>
    <t>http://portal.bsu.edu.ph:8083/index.php/BRJ/article/view/178</t>
  </si>
  <si>
    <t>CA/NPRCRTC</t>
  </si>
  <si>
    <t>Performance of Trichoderma koningii and Bacillus sp. As Potential Biocontrol Agents against Fusarium Wilt (Fusarium oxysporum) of Sweetpotato (Ipomoea batatas)</t>
  </si>
  <si>
    <t>Jophr L. Galian and Asuncion L. Nagpala</t>
  </si>
  <si>
    <t>Trichoderma koningii, Bacillus sp., Fusarium wilt inhibition</t>
  </si>
  <si>
    <t>http://portal.bsu.edu.ph:8083/index.php/BRJ/article/view/179</t>
  </si>
  <si>
    <t xml:space="preserve">Field Performance of Strawberry (Fragaria x ananasa Duch) Varieties 'Sweet Charlie' and 'Festival' Grown from Different Sub-Cultured Tissue Culture Meristem in La Trinidad, Benguet </t>
  </si>
  <si>
    <t>Milagros R. Dumaslan, Jemma Rose M. Kilakil</t>
  </si>
  <si>
    <t>Fragaria x ananasa Duch, sub-culture, in vitro propagation, fruit size, sugar content</t>
  </si>
  <si>
    <t>http://portal.bsu.edu.ph:8083/index.php/BRJ/article/view/180</t>
  </si>
  <si>
    <t xml:space="preserve">Evaluation and Performance of Different Bush Snap Beans (Phaseolus vulgaris L.) Varieites under Organic Farming System in La Trinidad, Benguet </t>
  </si>
  <si>
    <t>seed production, conventional, organic, agri-business, livelihood</t>
  </si>
  <si>
    <t>http://portal.bsu.edu.ph:8083/index.php/BRJ/article/view/181</t>
  </si>
  <si>
    <t>Effects of Forage Species and Preparations on the Growth and Feeding Performance of Sheep</t>
  </si>
  <si>
    <t>Jeferson H. Yucaddi, Marlene B. Atinyao</t>
  </si>
  <si>
    <t>Star grass, Napier grass, soilage, silage</t>
  </si>
  <si>
    <t>http://portal.bsu.edu.ph:8083/index.php/BRJ/article/view/182</t>
  </si>
  <si>
    <t xml:space="preserve">Antibiotic Residue Screening in Liver, Kidney and Muscle Tissues of Non-Moniyored Poultry Products, Cull-broiler and Cull, Sold in La Trinidad, Benguet </t>
  </si>
  <si>
    <t>Marjury M. Tabon, Denisa C. Domondon</t>
  </si>
  <si>
    <t>Antibiotic residue, cull-broiler chicken, culled chicken, Benguet, withdrawal period, disc diffusion technique</t>
  </si>
  <si>
    <t>http://portal.bsu.edu.ph:8083/index.php/BRJ/article/view/183</t>
  </si>
  <si>
    <t>Design, Fabrication and Performance Evaluation of a Batch-Type Fluidized Bed Coffee Roaster for Small-Scale Coffee Growers</t>
  </si>
  <si>
    <t>Vanessa Rose L. Meana, Nazer Sarapeo P. Kimkiman and Alvin C. Dulay</t>
  </si>
  <si>
    <t>batch-type roaster, fluidized bed, coffee roaster, airflow rate, performance evaluation</t>
  </si>
  <si>
    <t>http://portal.bsu.edu.ph:8083/index.php/BRJ/article/view/184</t>
  </si>
  <si>
    <t>Turning Waste into Calcium Source: Design, Fabrication and Performance Evaluation of A Motorized Oyster Shell Crushing  Machine at Different Speeds</t>
  </si>
  <si>
    <t>Eunice E. Mejos, Krisler M. Wansi and Genaro Macasieb</t>
  </si>
  <si>
    <t>Motorized oyster shell crusher, performance evaluation, design and fabrication of machine</t>
  </si>
  <si>
    <t>http://portal.bsu.edu.ph:8083/index.php/BRJ/article/view/185</t>
  </si>
  <si>
    <t>Effect of Teacher-Made Narrative Fiction (TMNF) about Covalent Bonding on Students' Achievement, Retention and Interest</t>
  </si>
  <si>
    <t>Russel Fits P. Wadasen and Joel V. Lubrica</t>
  </si>
  <si>
    <t>Teacher-Made Narrative Fiction, Covalent Bonding, Grade 9 Chemistry, Student Achievement, Retention and Interest</t>
  </si>
  <si>
    <t>http://portal.bsu.edu.ph:8083/index.php/BRJ/article/view/234</t>
  </si>
  <si>
    <t>Ensuring Intergenerational Ties: Digitizing Pidlisan Folktales to Multimedia Based Learning System (MBLS) Applying Tradigital Pedagogy</t>
  </si>
  <si>
    <t>Mac James T. Dacillo and Paul Joseph A. Nuval</t>
  </si>
  <si>
    <t>Multimedia Based Learning System,  Tradigital Pedagogy, Digitization, Indigenous Peoples, Indigenous Folktales, Cybernetic Tradition of Communication, Participatory Communication Approach (PCA)</t>
  </si>
  <si>
    <t>http://portal.bsu.edu.ph:8083/index.php/BRJ/article/view/235</t>
  </si>
  <si>
    <t>CSS/ISRD</t>
  </si>
  <si>
    <t>Women's Roles, Challenges, and Opportunities in Small-Scale Mining: The Case of Indigenous People in Loacan, Itogon, Benguet, Philippines</t>
  </si>
  <si>
    <t>Gigy G. Banes</t>
  </si>
  <si>
    <t>small-scale mining, joiners, paltek, naba, sagaok, Benguet mining/miner</t>
  </si>
  <si>
    <t>http://portal.bsu.edu.ph:8083/index.php/BRJ/article/view/236</t>
  </si>
  <si>
    <t>Exploring the Gap Between Framework and Practice: A Student-Teaching Experience of the Secondary Mathematics Pre-Service Teachers</t>
  </si>
  <si>
    <t>student teaching, mathematics pre-service teachers, math education</t>
  </si>
  <si>
    <t>http://portal.bsu.edu.ph:8083/index.php/BRJ/article/view/237</t>
  </si>
  <si>
    <t>Balancing Life: The Struggles of Working Mothers with Children 5 Years Old and Below in Benguet State University, Philippines</t>
  </si>
  <si>
    <t>Alima N. Bedejim, Kacy O. Labon, Rhea S. Loncio            and Ruth S. Batani</t>
  </si>
  <si>
    <t>work-life balance, working mothers, time spent, child care, alone time</t>
  </si>
  <si>
    <t>http://portal.bsu.edu.ph:8083/index.php/BRJ/article/view/238</t>
  </si>
  <si>
    <t>Prevalence of Overweight and Obesity among Employees of Selected Regional Line Agencies in the Cordillera Administrative Region, Philippines</t>
  </si>
  <si>
    <t>Imelda O. Degay</t>
  </si>
  <si>
    <t>overweight,  obesity, BMI, waist circumference, waist hip ratio, adult nutrition</t>
  </si>
  <si>
    <t>http://portal.bsu.edu.ph:8083/index.php/BRJ/article/view/239</t>
  </si>
  <si>
    <t>Factors Influencing Mathematics Teaching as a Career Choice (FIMT-Choice): An Instrument Development and Validation</t>
  </si>
  <si>
    <t>motivation, pre-service teachers, instrument validation</t>
  </si>
  <si>
    <t>http://portal.bsu.edu.ph:8083/index.php/BRJ/article/view/240</t>
  </si>
  <si>
    <t>Nutritional and Blood Pressure Profile and Its Correlates: The Case of Benguet State University Employees, Philippinnes</t>
  </si>
  <si>
    <t>Imelda O. Degay, Sherilyn Balauro and                              Ma. Alice P. Torres</t>
  </si>
  <si>
    <t>Body Mass Index, Waist Circumference, Blood Pressure, Work performance, University Employees</t>
  </si>
  <si>
    <t>http://portal.bsu.edu.ph:8083/index.php/BRJ/article/view/241</t>
  </si>
  <si>
    <t>BSU TALKnology: Touching Lives of Rural Communities
in the Highlands of Northern Luzon, Philippines</t>
  </si>
  <si>
    <t>Constantino T. Sudaypan</t>
  </si>
  <si>
    <t>TALKnology program, technology adoption, rural communities</t>
  </si>
  <si>
    <t>http://portal.bsu.edu.ph:8083/index.php/BRJ/article/view/242</t>
  </si>
  <si>
    <t>Value Chain Analysis of Pig (Sus scrota) in a Highland, Indigenous Community: The Case of Sablan, Benguet, Philippines</t>
  </si>
  <si>
    <t>Justine P. Ayomen and Madeline S. Kingan</t>
  </si>
  <si>
    <t>Value chain, Key actors, Sus scrota philippinensis, indigenous community</t>
  </si>
  <si>
    <t>http://portal.bsu.edu.ph:8083/index.php/BRJ/article/view/243</t>
  </si>
  <si>
    <t>School-Based Management in Benguet, Philippines: Its Impact to Quality Improvement among Public Secondary School Heads</t>
  </si>
  <si>
    <t>Percyveranda A. Lubrica, Imelda G. Parcasio, Jingle P. Cuevas, Manolita N. Alvaro, Alma Vida G. Gallardo, and Ruth S. Batani</t>
  </si>
  <si>
    <t>School-based Management, school head, school governance</t>
  </si>
  <si>
    <t>http://portal.bsu.edu.ph:8083/index.php/BRJ/article/view/244</t>
  </si>
  <si>
    <t>Enhancing the Social Media Marketing of Agri-tourism by Farmers in La Trinidad, Benguet, Philippines and the Development of the Hellical Model of Participatory Communication Action Research</t>
  </si>
  <si>
    <t>Jennyline S. Tabangcura and Christine Grace S. Fuchigami</t>
  </si>
  <si>
    <t>Social Media Marketing, Agri-tourism, Participatory Communication Research Action (PCRA)</t>
  </si>
  <si>
    <t>http://portal.bsu.edu.ph:8083/index.php/BRJ/article/view/245</t>
  </si>
  <si>
    <t>CHET/ISRD</t>
  </si>
  <si>
    <t>Traditional Food Crops and Their Role in the Nutrition Well-Being of a Semi-Subsistent Community in Kibungan, Benguet, Philippines</t>
  </si>
  <si>
    <t>Sherilyn B. Balauro and Matyline Camfili-Talastas</t>
  </si>
  <si>
    <t>Nutrition, traditional food crops, post-harvest practices, 24-hour food recall, semi-subsistent community</t>
  </si>
  <si>
    <t>http://portal.bsu.edu.ph:8083/index.php/BRJ/article/view/246</t>
  </si>
  <si>
    <t>Floral Diversity Assessment of Balili River as Potential Phytoremediators</t>
  </si>
  <si>
    <t>Jones T. Napaldet, Inocencio E. Buot Jr</t>
  </si>
  <si>
    <t xml:space="preserve">Alternanthera sessilis, Amaranthus spinosus, Cyperus distans, diversity indices, Eleusine indica, Pennisetum purpureum, phytoremediation </t>
  </si>
  <si>
    <t>https://www.researchgate.net/profile/Jones-Napaldet/publication/332980031_FLORAL_DIVERSITY_ASSESSMENT_OF_BALILI_RIVER_AS_POTENTIAL_PHYTOREMEDIATORS/links/5cd5454d299bf14d95877b44/FLORAL-DIVERSITY-ASSESSMENT-OF-BALILI-RIVER-AS-POTENTIAL-PHYTOREMEDIATORS.pdf</t>
  </si>
  <si>
    <t>Morpho-anatomical Characterization of Benguet Lily (Lilium philippinense Baker)</t>
  </si>
  <si>
    <t xml:space="preserve">Lilium philippinense Baker, morphological and anatomical features </t>
  </si>
  <si>
    <t>https://www.researchgate.net/profile/Jones-Napaldet/publication/332963271_Morpho-Anatomical_Characterization_of_Benguet_Lily_Lilium_philippinense_Baker/links/5cd3f851458515712e9be092/Morpho-Anatomical-Characterization-of-Benguet-Lily-Lilium-philippinense-Baker.pdf</t>
  </si>
  <si>
    <t>Evaluation of stem taper models fitted for Japanese cedar (Cryptomeria japonica) in the subtropical forests of Jeju Island, Korea</t>
  </si>
  <si>
    <t>Roscinto Ian C. Lumbres,Sung-Hyun Joo , Sung Cheol Jung</t>
  </si>
  <si>
    <t>Diameter outside bark, Jeju province, kozak model, model evaluation, stem volume estimation</t>
  </si>
  <si>
    <t>https://doi.org/10.1080/21580103.2017.1393018</t>
  </si>
  <si>
    <t>Chilling Differentially Affects Strawberries Grown under High-Temperature Conditions</t>
  </si>
  <si>
    <t>Nadine A. Ladesma, Curil S. Bagay, Justin C. Delgado, Danilo P. Padua</t>
  </si>
  <si>
    <t>Chilling treatment, Fragaria x ananassa Duch., high temperature stress, strawberry, temperate fruits in the tropics</t>
  </si>
  <si>
    <t>https://d1wqtxts1xzle7.cloudfront.net/54149942/Ledesma_PAS.pdf?1502845904=&amp;response-content-disposition=inline%3B+filename%3DChilling_differentially_affects_strawber.pdf&amp;Expires=1711502954&amp;Signature=BUvuBo7cpkGHK3~EwP042YzhvEsgmMj72Xx06yU6GvwOum5QYAH3decTVmLocoWurRYuxRMV6G04TJmu63UmVa-rqJJOUZgw1GbTIwe3CEUKcUwBG86aFcQUJb4VFx63LxuSyhFoyfv0O44f1y80h7KzvIw4Hdkxj30qE6lZVOMkWJxrlWuKlFb91CQPCkeZynS1DjHvEkxFJSbLaYkSuEYb-vYvENt5v3i7SyOaewbgxsFfVVi95Wwc7HVtBkh-rzCZW40dJq-MtkGrFCm9jnLYWOvqyNJ20mfQhWVKr~NSTFk52BNSN75R8ZplZH0IsG9lz9QELhEULbhdpSi6pg__&amp;Key-Pair-Id=APKAJLOHF5GGSLRBV4ZA</t>
  </si>
  <si>
    <t>Identification and characterization of endophytic fungi associated with the leaves of Moringa oleifera Lam.</t>
  </si>
  <si>
    <t>E.S. Carbungco, N.B. Pedroche, V.A. Panes, T.E. De la Cruz</t>
  </si>
  <si>
    <t>explants, fungal endophytes, metabolites, morphospecies</t>
  </si>
  <si>
    <t>https://doi.org/10.17660/ActaHortic.2017.1158.42</t>
  </si>
  <si>
    <t>Detection of Organophosphate Residues in Selected Crops in Benguet and Mt. Province, Philippines</t>
  </si>
  <si>
    <t>Romeo A. Gomez, Jr., Gaudelia A. Reyes, David Y. Fomeg-as, Wileen Chiara T. Lasangen, Carljhonson Anacin</t>
  </si>
  <si>
    <t>organophosphate, pesticide residue, pesticide residue accumulation, maximum residue limit (MRL)</t>
  </si>
  <si>
    <t>https://doi.org/10.47125/jesam/2017_2/04</t>
  </si>
  <si>
    <t>Morphological Characterization and Bacteriostatic Activity of Entomopathogenic Fungi Isolated from Short-horned Grasshopper (Oxya hyla intrica)</t>
  </si>
  <si>
    <t>Ronel C. Sogelio Jr., Jessa May H. Natura, James Kennard S. Jacob and Jennifer C. Paltiyan</t>
  </si>
  <si>
    <t xml:space="preserve"> Fungi, Grasshopper, Isolation, Morphological</t>
  </si>
  <si>
    <t>http://www.aatsea.org/images/conference_publications/pdf/v13_n7_3_2017_December/42_IJAT_13(7.3)_2017_Sogelio,%20Jr.%20RC_Microbial%20Biotechnology%20and%20Plant%20Protection.pdf</t>
  </si>
  <si>
    <t>Phytochemical Analysis, Larvicidal Activity and Cytotoxic Properties of Malvarosa (pelargonium graveolens) Leaf Extract</t>
  </si>
  <si>
    <t>Jennifer C. Paltiyan, Justin V. Dumale and Cynthia C. Divina</t>
  </si>
  <si>
    <t>P. graveolens, phytochemical, larvicidal, cytotoxic properties, cell line (A549), proliferation</t>
  </si>
  <si>
    <t>https://www.researchgate.net/profile/Jennifer-Paltiyan/publication/326848290_Phytochemical_Analysis_Larvicidal_Activity_and_Cytotoxic_Properties_of_Malvarosa_Pelargonium_graveolens_Leaf_Extract/links/5e81f701458515efa0ba092c/Phytochemical-Analysis-Larvicidal-Activity-and-Cytotoxic-Properties-of-Malvarosa-Pelargonium-graveolens-Leaf-Extract.pdff</t>
  </si>
  <si>
    <t>Tree Height Estimation of Pinus densiflora and Pinus koraiensis in Korea with the Use of UAV-Acquired Imagery</t>
  </si>
  <si>
    <t>Lynn Talkasen, Myeong Jun Kim, Dong Hyeon Kim, Dong Geun Kim, Kawn Hee Lee</t>
  </si>
  <si>
    <t>unmanned aerial vehicle (UAV), digital surface model (DSM), height estimation, Pinus densiflora, Pinus koraiensis</t>
  </si>
  <si>
    <t>http://pdf.medrang.co.kr/Jfs/2017/033/Jfs033-03-03.pdf</t>
  </si>
  <si>
    <t>Five-Year Licensure Examination  Performance of Library and Information Science Graduates</t>
  </si>
  <si>
    <t>Elizabeth A. Lascano, Apler J. Bansiong</t>
  </si>
  <si>
    <t>Curricular programs, Librarians’ licensure examination (LLE), Passing rates, Bachelor of library and information science (BLIS), Center-Reviewees Self-Reviewees, First timers, Repeaters</t>
  </si>
  <si>
    <t>https://www.researchgate.net/profile/Elizabeth-Lascano/publication/354469581_Five-Year_Licensure_Examination_Performance_of_Library_and_Information_Science_Graduates/links/618dc3a0d7d1af224bdcd134/Five-Year-Licensure-Examination-Performance-of-Library-and-Information-Science-Graduates.pdf</t>
  </si>
  <si>
    <t>Ecological Solid Waste Management Practices of Households in the City Of Baguio: Basis for an Advocacy Program towards Climate Change Mitigation</t>
  </si>
  <si>
    <t>Rochelle B. Belino and Pelin B. Belino</t>
  </si>
  <si>
    <t xml:space="preserve">ecological solid waste management </t>
  </si>
  <si>
    <t>not acccessible online as of March 2024</t>
  </si>
  <si>
    <t>Design and Fabrication of a Passive Solar Dryer for Meat Preservation in the Cordillera Region of Northern Philippines</t>
  </si>
  <si>
    <t>Edgar M. Molintas</t>
  </si>
  <si>
    <t xml:space="preserve">“etag”, highland, meat drying, Northern Philippines, passive solar dryer </t>
  </si>
  <si>
    <t>https://doi.org/10.22137/ijst.2017.v2n1.01</t>
  </si>
  <si>
    <t>Phenotypic Variation of Snapbean Varieties for Water Stress Tolerance in the Philippine Highlands</t>
  </si>
  <si>
    <t>Belinda A. Tad-awan, Hilda V. Palaes</t>
  </si>
  <si>
    <t>drought, indices, snap bean, tolerance, waterlogging</t>
  </si>
  <si>
    <t>not available online</t>
  </si>
  <si>
    <t>Material Recovery Appraisal of Solid Wastes in Universities: An Audit of Faculty Rooms in Selected HEIs of Baguio City, Philippines</t>
  </si>
  <si>
    <t>Danesto B. Anacio, Romeo A. Gomez, Jr.</t>
  </si>
  <si>
    <t>waste characteization, material recovery, higher education institutions (HEIs), solid waste management (SWM), waste monetization</t>
  </si>
  <si>
    <t>https://www.ejournals.ph/article.php?id=12366</t>
  </si>
  <si>
    <t>CF/CA</t>
  </si>
  <si>
    <t>Climate Change Vulnerability Assessment in Selected Highland Areas of Benguet: An Appliacation of VAST-Agro Tool</t>
  </si>
  <si>
    <t xml:space="preserve">Marissa R. Parao, Janet P. Pablo, Amparo M. Wagan, Jose Nestor M . Garcia and Simplicio M. Medina </t>
  </si>
  <si>
    <t xml:space="preserve">climate change, vulnerability assessment, climate hazards, community resilience, temperate vegetables, VAST-Agro tool </t>
  </si>
  <si>
    <t>http://103.125.149.70/index.php/BRJ/article/view/14</t>
  </si>
  <si>
    <t>Implementation of Inclusive Education in the Cordillera Administrative Region</t>
  </si>
  <si>
    <t xml:space="preserve">inclusive education, accommodation, modification, teaching adjustment, children with special learning needs </t>
  </si>
  <si>
    <t>http://portal.bsu.edu.ph:8083/index.php/BRJ/article/view/15</t>
  </si>
  <si>
    <t>Development and Evaluation of NSIC-Approved Improved Varieties of Bush and Pole Snap Beans (Phaselus vulgaris L.) for Commercialization in Northern Philippines</t>
  </si>
  <si>
    <t>Leoncia L. Tandang</t>
  </si>
  <si>
    <t xml:space="preserve">Phaseolus vulgaris, germplasm collection, characterization and evaluation, pedigree breeding method, multi-location field trials, new improved varieties </t>
  </si>
  <si>
    <t>http://journals.bsu.edu.ph/index.php/BRJ/article/view/16</t>
  </si>
  <si>
    <t>Employment Skills : Implications for Instructional Enhancement and Student Development</t>
  </si>
  <si>
    <t>Leonila  R. Sito</t>
  </si>
  <si>
    <t xml:space="preserve">soft skills, hard skills, type of program, status in organizations, contributory factors </t>
  </si>
  <si>
    <t>http://103.125.149.70/index.php/BRJ/article/view/17</t>
  </si>
  <si>
    <t>Ragpat: Prayer for the Dead and Quest for Transcendence</t>
  </si>
  <si>
    <t>Tecah C. Sagandoy</t>
  </si>
  <si>
    <t xml:space="preserve">prayer, prayer for the dead, transcendence, spirit/soul, disincarnated </t>
  </si>
  <si>
    <t>http://103.125.149.70/index.php/BRJ/article/view/18</t>
  </si>
  <si>
    <t>Propagation Trials with Application of Pre-Germination Treatments and Rooting Hormones to Stem Cuttings of Beltik (Syzygium sub-caudatum (Merr.) Merr.) and Itsa-Tsa-a (Ehretia Microphylla Lam.)</t>
  </si>
  <si>
    <t xml:space="preserve">propagation, stem cuttings and sections, pre-germination and hormonal treatments, double cutting procedure and germination rate and period </t>
  </si>
  <si>
    <t>http://journals.bsu.edu.ph/index.php/BRJ/article/view/19</t>
  </si>
  <si>
    <t>Sustainability Assessment of the Production, Decomposition Rate and NPK Content of Litterfall under the Coffea arabica- Based Agroforestry Systems in Atok, Benguet, Philippines</t>
  </si>
  <si>
    <t xml:space="preserve">Conrado C. Bao-idang, Roberto G. Visco, Wilfredo M. Carandang, Nelson M. Pampolina and Arturo SA. Castillo </t>
  </si>
  <si>
    <t xml:space="preserve">litter production &amp; decomposition, NPK content, sustainability </t>
  </si>
  <si>
    <t>http://journals.bsu.edu.ph/index.php/BRJ/article/view/20</t>
  </si>
  <si>
    <t>Growth Performance of Finisher Broilers Fed with Ration Containing Potato (Solanum tuberosum) Meal as Partial Substitute to Corn</t>
  </si>
  <si>
    <t xml:space="preserve">Marlene B. Atinyao and Genevieve R. Tabon </t>
  </si>
  <si>
    <t xml:space="preserve">Potato meal, broiler, finishing ration, growth performance </t>
  </si>
  <si>
    <t>http://journals.bsu.edu.ph/index.php/BRJ/article/view/21</t>
  </si>
  <si>
    <t>Nurse informaticians report low satisfaction and multi-level concerns with electronic health records: results from an international survey</t>
  </si>
  <si>
    <t xml:space="preserve"> Jude L Tayaben, Maxim Topaz, Charlene Ronquillo, Laura-Maria Peltonen, Lisiane Pruinelli, Raymond Francis Sarmiento, Martha K Badger, Samira Ali, Adrienne Lewis, Mattias Georgsson, Eunjoo Jeon, Chiu-Hsiang Kuo, Tasneem Islam, Janine Sommer, Hyunggu Jung, Gabrielle Jacklin Eler, Dari Alhuwail, Ying-Li Lee</t>
  </si>
  <si>
    <t>attitude to computers, electronic health record, health personnel attitude, human, job satisfaction, nurse, nursing informatics, questionnaire, Attitude of Health Personnel, Electronic Health Records, Humans, Nurses, Surveys and Questionnaires</t>
  </si>
  <si>
    <t>https://pubmed.ncbi.nlm.nih.gov/28269961/</t>
  </si>
  <si>
    <t>Nursing informatics research priorities for the future: recommendations from an international survey</t>
  </si>
  <si>
    <t xml:space="preserve"> Tabayen, Jude L; Peltonen, Laura-Maria; Jeon, Eunjoo; Kuo, Chiu-Hsiang; Islam, Tasneem; Sommer, Janine; Jung, Hyunggu; Eler, Gabrielle Jacklin; AlHuwail, Dari; Topaz, Maxim; Ronquillo, Charlene Esteban; Pruinelli, Lisiane; Sarmiento, Raymond Francis; Badger, Martha Kimpton; Ali, Samira; Lewis, Adrienne; Georgsson, Mattias</t>
  </si>
  <si>
    <t>Book Chapter</t>
  </si>
  <si>
    <t>nursing informatics, future trends, big data, standard terminologies, informatics competencies</t>
  </si>
  <si>
    <t>https://www.researchgate.net/profile/Charlene-Ronquillo/publication/304750118_Nursing_Informatics_Research_Priorities_for_the_Future_Recommendations_from_an_International_Survey/links/59e71e2c4585151e54659ea7/Nursing-Informatics-Research-Priorities-for-the-Future-Recommendations-from-an-International-Survey.pdf</t>
  </si>
  <si>
    <t>Advancing nursing informatics in the next decade: recommendations from an international survey</t>
  </si>
  <si>
    <t>Tabayen, J. L., Topaz, M., Ronquillo, C. E., Peltonen, L.-M., Pruinelli, L., Sarmiento, R. F., Badger, M. K., Ali, S., Lewis, A., Georgsson, M., Jeon, E.,  Kuo, C.-H., Islam, T., Sommer, J., Jung, H., Eler, G. J. and AlHuwail</t>
  </si>
  <si>
    <t xml:space="preserve"> Nursing informatics, future trends, big data science, standard terminologies, informatics competencies </t>
  </si>
  <si>
    <t>https://www.researchgate.net/profile/Gabrielle-Eler/publication/320975563_Advancing_Nursing_Informatics_in_the_Next_Decade_Recommendations_from_an_International_Survey/links/5aedcfa3458515f59982fe80/Advancing-Nursing-Informatics-in-the-Next-Decade-Recommendations-from-an-International-Survey.pdf</t>
  </si>
  <si>
    <t>Current Trends in Nursing Informatics: Results of an International Survey</t>
  </si>
  <si>
    <t xml:space="preserve"> Jude Tabayen, Laura Maria Peltonen, Dari AlHuwail, Samira Ali, Martha Kimpton Badger, Gabrielle Jacklin Eler, Mattias Georgsson, Tasneem Islam, Eunjoo Jeon, Hyunggu Jung, Chiu-Hsiang Kuo, Adrienne Lewis, Lisiane Pruinelli, Charlene Esteban Ronquillo, Raymond Francis Sarmiento, Janine Sommer, Maxim Topaz</t>
  </si>
  <si>
    <t>nursing, informatics, research trends, research priorities, international survey</t>
  </si>
  <si>
    <t>https://europepmc.org/article/med/27332419</t>
  </si>
  <si>
    <t>Comparison of Stem Taper Models for the Four Tropical Tree Species in Mount Makiling, Philippines</t>
  </si>
  <si>
    <t>Roscinto Ian C. Lumbres, Azyleah C. Abino, Nelson M. Pampolina, Feliciano G. Calora Jr., Young Jin Lee</t>
  </si>
  <si>
    <t>Mount Makiling Forest Reserve, Stem Volume Estimation, Diameter Outside Bark, Kozak Model, Tropical Trees Species</t>
  </si>
  <si>
    <t>https://doi.org/10.1007/s11629-015-3546-2</t>
  </si>
  <si>
    <t>The adoption of cv. Igorota in the Philippines and Vietnam</t>
  </si>
  <si>
    <t>Dao Huy Chien, Zenaida N Ganga, Donita K Simongo, Cynthia G Kiswa, Ines C Gonzales, Jocelyn Perez, Pham Xuan Tung, Nguyen Tuyet Hau, Katrin Artola, Jari PT Valkonen, Canhui Li, Peter VanderZaag</t>
  </si>
  <si>
    <t xml:space="preserve">Potato, Andigena, Late blight resistance, PVY resistance, PLRV resistance, Tropical highlands, Rapid multiplication </t>
  </si>
  <si>
    <t>https://doi.org/10.1007/s12230-016-9503-y</t>
  </si>
  <si>
    <t>Performance of Weibull Function as a Diameter Distribution Model for Pinus thunbergii Stands in the Eastern Coast of South Korea</t>
  </si>
  <si>
    <t>Roscinto Ian Canicosa Lumbres, Azyleah Cañizares Abino, Sung Yong Kim,  Mi Na Jang, Ho Joong Youn, Ki Hyung  Park, Young Jin Lee</t>
  </si>
  <si>
    <t xml:space="preserve">Aboveground biomass, Weibull distribution, Parameter recovery technique, Site index, Pinus thunbergii, Diameter distribution </t>
  </si>
  <si>
    <t>https://doi.org/10.1007/s11629-014-3243-5</t>
  </si>
  <si>
    <t>Spore Associated Bacteria of Arbuscular Mycorrhizal Fungi Improve Maize Tolerance to Salinity by Reducing Ethylene Stress Level</t>
  </si>
  <si>
    <t>Gopal Selvakumar, Kiyoon Kim, Charlotte C. Shagol, Manoharan Melvin Joe, Tongmin Sa</t>
  </si>
  <si>
    <t>Spore Associated Bacteria, ACC deaminase, Salt Stress, Ethylene Emission, PGP Functional Traits</t>
  </si>
  <si>
    <t>https://doi.org/10.1007/s10725-016-0184-9</t>
  </si>
  <si>
    <t>Enhancing Classroom Interaction Creatively</t>
  </si>
  <si>
    <t>Samuel S. Poliden</t>
  </si>
  <si>
    <t>classroom practices, communication opportunities, authentic materials</t>
  </si>
  <si>
    <t>https://www.indianjournals.com/ijor.aspx?target=ijor:ijarmss&amp;volume=5&amp;issue=6&amp;article=056</t>
  </si>
  <si>
    <t>Translation Competence of Pre-Service Teachers</t>
  </si>
  <si>
    <t>Lexical, Mother Tongue, Pre-Service Teachers, Translation Competence, Semantic, Syntactic</t>
  </si>
  <si>
    <t>https://www.ijser.org/researchpaper/Translation-Competence-of-Pre-Service-Teachers.pdf</t>
  </si>
  <si>
    <t>Sustainable Potato Production in the Philippine Cordillera Region</t>
  </si>
  <si>
    <t>Ines C. Gonzales, Cynthia G. Kiswa, Arlene B. Bautista</t>
  </si>
  <si>
    <t>Igorota variety, potato stem cuttings, seed production, tissue culture</t>
  </si>
  <si>
    <t>https://d1wqtxts1xzle7.cloudfront.net/103634200/IJEAS0306034-libre.pdf?1687407348=&amp;response-content-disposition=inline%3B+filename%3DSustainable_Potato_Production_in_the_Phi.pdf&amp;Expires=1711962808&amp;Signature=aSb~2ShEHktzpjWM7bw4YlLKo05egR52aXfRF1KB-WCQ~b4Enrfbf1qMJnIwldUVW4YprWtH8pmaQZ7SFjegd8VeIRZjJ4IcLPyEJGwD-WWobzmowqZ2aEA3zv-9b-ITFseysmbQo~6GONFXE1h7TXHMG1TVKuLkvuTGvkgSuNfUfSwT75LeoGQSkOh5JAJ5qViVKjPgtqFfdVdBFYCB0ucrP6AVAsxa~xYi~jyvpbS9CZgMjKHAgtgermSQAxxDhTETfWMJXV5rDTC1uW-tMrMf8QRFIJzkQd98Fk3uQty1CO8eS5aDl4-hhtepfK4iRFCsJHgAWZDtWgjbyn7hcg__&amp;Key-Pair-Id=APKAJLOHF5GGSLRBV4ZA</t>
  </si>
  <si>
    <t>Chickpea (garbanzos) Its’ Nutritional and Economical Value</t>
  </si>
  <si>
    <t>Ines C. Gonzales, Fernando R. Gonzales, Hilda L. Quindara, Pelin B. Belino, Esther T. Botangen</t>
  </si>
  <si>
    <t>Buns, desi-type, kabuli-type, garbanzos, leche flan</t>
  </si>
  <si>
    <t>https://smartlib.umri.ac.id/assets/uploads/files/9e1be-a0704010106.pdf</t>
  </si>
  <si>
    <t>Evaluation of Potential Taro Cultivars Under La Trinidad Conditions</t>
  </si>
  <si>
    <t>Donita K. Simongo, Ines C. Gonzales</t>
  </si>
  <si>
    <t>no access</t>
  </si>
  <si>
    <t>Evaluation on the Productivity of Cassava Intercropped with Bush Bean Under La Trinidad</t>
  </si>
  <si>
    <t>Lito M. Pacuz, Ines C. Gonzales, Donita K. Simongo</t>
  </si>
  <si>
    <t>Bush beans, cassava, intercropped</t>
  </si>
  <si>
    <t>Extracellular cell wall-degrading enzyma as mycopesticide derived from Beauveria bassiana against tomato black lead mold (Pseudocercospora fuligena)</t>
  </si>
  <si>
    <t>JI Yago, AD Agrimor, JLP Baligad, ET Irabagon, LM Villanueva, RG Maghirang</t>
  </si>
  <si>
    <t>Beauveria bassiana, enzymes, degradation, Pseudocercospora, Entomogenous fungi, plant diseases</t>
  </si>
  <si>
    <t>Survey of insects, mites and slugs associated with selected fruit crops grown in the Provinces of the Cordillera Administrative Region (CAR)[Philippines]</t>
  </si>
  <si>
    <t>LM Faroden, LM Colting, KJP Eladjoe, AT Manuel, MR Parao, JD Bacbac</t>
  </si>
  <si>
    <t>Tetranychus urticae, Tetranychidae, Oecophylla, mangoes, Pentalonia, bananas, pests of plants, Arbutus, Pentalonia nigronervosa, Banana bunchy top virus, Harmony, Arthropoda</t>
  </si>
  <si>
    <t>Design and Fabrication of a Hydraulic Diaphragm
Pump</t>
  </si>
  <si>
    <t>Melba D. Denson, Marlon N. Galad, and John James F. Malamug</t>
  </si>
  <si>
    <t xml:space="preserve">development, hydraulic diaphragm pump, motorless, energy from moving water, irrigation
</t>
  </si>
  <si>
    <t>Development of a Vertical Disc Push-Type Double-Row Carrot Seeder for Small-Scale Farmers</t>
  </si>
  <si>
    <t>Marvin T. Valentin</t>
  </si>
  <si>
    <t>carrot seeder; fabrication; field capacity; field efficiency; evaluation</t>
  </si>
  <si>
    <t>Analysis of Nutritional Status and Income of Landless Agricultural Workers and Their Households from Two Villages in Calauan, Laguna, Philippines</t>
  </si>
  <si>
    <t>Alessandro A. Manilay, Imelda Degay, Lilibeth O. Furoc and Rico C. Ancog</t>
  </si>
  <si>
    <t xml:space="preserve"> landless farm workers, caloric intake, poverty threshold</t>
  </si>
  <si>
    <t>From Shaking to Shining: Reducing Students’ Language Anxiety through Outcome Thinking Protocol</t>
  </si>
  <si>
    <t>Myrna B.Sison-Kuiper</t>
  </si>
  <si>
    <t>Language Anxiety, Outcome Thinking Protocol Approach, Lived Experiences, Case Study</t>
  </si>
  <si>
    <t>Interactive physics apparatus: influence on interest of secondary school students in pursuing a career path in science, technology, engineering and mathematics (STEM)</t>
  </si>
  <si>
    <t>Joel V Lubrica, Jovalson T Abiasen, Bretel B Dolipas, Jennifer Lyn S Ramos</t>
  </si>
  <si>
    <t>Secondary School Science, Physics, Science Instruction, Junior High School Students, Science Laboratories, Laboratory Equipment, STEM Education, Student Attitudes, Student Interests, Career Choice, Foreign Countries, Laboratory Schools, Likert Scales</t>
  </si>
  <si>
    <t>A Technique of Teaching the Principle of Equivalence at Ground Level</t>
  </si>
  <si>
    <t xml:space="preserve"> Teaching Methods, Scientific Methodology, Scientific Principles, Demonstrations (Educational), Motion, Scientific Concepts, Physics, Class Activities</t>
  </si>
  <si>
    <t>Bimetal switches in an AND logic gate</t>
  </si>
  <si>
    <t>Joel V Lubrica and Quantum Yuri B Lubrica</t>
  </si>
  <si>
    <t>Stem volume Models and Validation for Cryptomeria japonica in Jeju Island, Korea</t>
  </si>
  <si>
    <t>YeonOk Seo, Sung Cheol Jung, Roscinto Ian Lumbres, Chul Hyun Jeon, Chan Soo Kim</t>
  </si>
  <si>
    <t>Valuing underutilized sweetpotato (Ipomoea batatas L.) comparing a yellow and dark purple fleshed cultivar: its nutritional content and economic potential</t>
  </si>
  <si>
    <t>Gonzales, I. C., Botangen, E. T., Mama-o, J. K.</t>
  </si>
  <si>
    <t xml:space="preserve"> camote, Cordillera, hopia, yoghurt</t>
  </si>
  <si>
    <t>Verbal Learning Style as the Least Preferred Learning Style of Students in an Asian Country</t>
  </si>
  <si>
    <t>Education, learning styles, dominant learning styles, language class, communication skills, descriptive design, Philippines</t>
  </si>
  <si>
    <t>Growth Performance and Coccidia Occurrence in Philippine Native Chicken Given Diets Added with Organic Selenium, Probiotics and Prebiotics</t>
  </si>
  <si>
    <t xml:space="preserve">Monaliz M. Nagrampa, Josefina Linda B. Manugo, Clarita S. Puso </t>
  </si>
  <si>
    <t>coccidia, native chicken, oocyst, prebiotic, probiotic</t>
  </si>
  <si>
    <t>Tut-uya, a Customary La w Process in Resolving Administrative Cases at the Department of Education</t>
  </si>
  <si>
    <t xml:space="preserve">Soraya T. Faculo, Desiree F. Botengan, Maria C. Aplaten and Rufina D. Cadsi </t>
  </si>
  <si>
    <t xml:space="preserve">Tut-uya, Inayan/Lawa, Administrative Dispute Resolution, Restorative Justice, Transformative Justice </t>
  </si>
  <si>
    <t>Sweetpotato Cultivars Grown by Ethnolinguistic Groups in Northern Philippines</t>
  </si>
  <si>
    <t xml:space="preserve">Dalen T. Meldoz, Betty T. Gayao and Grace S. Backian </t>
  </si>
  <si>
    <t xml:space="preserve">cultivars, ethnolinguistic groups, sweetpotato, Northern Philippines </t>
  </si>
  <si>
    <t>Broccoli Rotation and Residue Amendment: A Sustainable Management Option for Soil-Borne Diseases of Strawberry</t>
  </si>
  <si>
    <t xml:space="preserve">Luciana M. Villanueva and Floresca T. Agustin </t>
  </si>
  <si>
    <t xml:space="preserve">strawberry, broccoli rotation, Pratylenchus penetrans, Aphelenchoides fragariae </t>
  </si>
  <si>
    <t>Varietal Response of Cabbage to Drought Condition in La Trinidad, Benguet, Philippines</t>
  </si>
  <si>
    <t xml:space="preserve">Belinda A. Tad-awan and Charlotte C. Shagol </t>
  </si>
  <si>
    <t xml:space="preserve">drought score,heading stage, yield, relative water content, soil matric potential </t>
  </si>
  <si>
    <t>Diversity of Roots and Tubers Grown and Known by Indigenous Peoples of Northern Philippines</t>
  </si>
  <si>
    <t xml:space="preserve">Betty T. Gayao, Dalen T. Meldoz and Grace S. Backian </t>
  </si>
  <si>
    <t xml:space="preserve">known and grown roots and tubers, indigenous people, Northern Philippines </t>
  </si>
  <si>
    <t>Toknang, “Humor that Bites”; Understanding the Subculture of Young Farmers</t>
  </si>
  <si>
    <t xml:space="preserve">Ruth S. Batani </t>
  </si>
  <si>
    <t xml:space="preserve">Toknang, apos, folklore, pa-suplay system, young farmers </t>
  </si>
  <si>
    <t>Pre-Harvest Aflatoxin Contamination of Peanuts Collected from Regions I, II and the Cordillera Administrative Region</t>
  </si>
  <si>
    <t xml:space="preserve">Janet S. Luis, Floresca T. Agustin, Robert C. Kemeriat, Jr. and Yolanda B. Angeles </t>
  </si>
  <si>
    <t xml:space="preserve">Peanut, pre-harvest aflatoxin contamination, immunochromatographic test strips </t>
  </si>
  <si>
    <t xml:space="preserve">Greater Yam (Dioscorea alata) Varieties Grown by the Ethno-linguistic Groups in Northern Philippines </t>
  </si>
  <si>
    <t xml:space="preserve">Grace S. Backian, Betty T. Gayao and Dalen T. Meldoz </t>
  </si>
  <si>
    <t xml:space="preserve">greater yam, wild yam, ethno-linguistic groups, endangered, food security, swidden farm </t>
  </si>
  <si>
    <t>Effect of Ground Black Pepper (Piper nigrum) as Feed Additive on the Performance of Broilers</t>
  </si>
  <si>
    <t xml:space="preserve">Amelia L. Chuparan, Marlene B. Atinyao and Mary Arnel D. Garcia </t>
  </si>
  <si>
    <t xml:space="preserve">broilers, ground black pepper, body weight, feed intake, gain in weight, feed conversion ratio, morbidity, mortality </t>
  </si>
  <si>
    <t>Loss of Traditional Rootcrops Knowledge (TRK) Among Some Indigenous Peoples in Northern Philippines</t>
  </si>
  <si>
    <t xml:space="preserve">traditional root crops knowledge, Ibaloi, Bago, Tingguian and Iyattuka, indigenous peoples </t>
  </si>
  <si>
    <t>Soil Properties of Agricultural Farms in Two Agro-Ecological Zones of Three Municipalities of Benguet</t>
  </si>
  <si>
    <t xml:space="preserve">Carlito P. Laurean, Craig P. Lucas and Dexter D. Kisim </t>
  </si>
  <si>
    <t xml:space="preserve">organic fertilizers, soil properties, physical properties, agricultural farms </t>
  </si>
  <si>
    <t>Efficacy and Profitability of Organic Fertilizers on Arabica Coffee Seedling Production</t>
  </si>
  <si>
    <t xml:space="preserve">Emilia F. Dayap and Von Y. Amado </t>
  </si>
  <si>
    <t xml:space="preserve">organic fertilizer, Arabica coffee, seedling, FOSF, FOLF </t>
  </si>
  <si>
    <t>Traditional Storage and Utilization Practices on Root and Tuber Crops of Selected Indigenous People in the Northern Philippines</t>
  </si>
  <si>
    <t xml:space="preserve">storage and utilization, roots and tubers, indigenous people </t>
  </si>
  <si>
    <t>The Practice of Micro-Teaching Among Pre-Service Teachers: For Policy Formulation</t>
  </si>
  <si>
    <t xml:space="preserve">Joel V. Lubrica and Maria Azucena B. Lubrica </t>
  </si>
  <si>
    <t xml:space="preserve">video-recording, micro-teaching, pre-service science teachers </t>
  </si>
  <si>
    <t>Motivational Factors and the Self-Projections of Students in Pursuit of Nursing Education</t>
  </si>
  <si>
    <t xml:space="preserve">Jude L. Tayaben, Doris S. Natividad, Maureen E. Gay-as, Louisa F. Laron and Carol Ruth L. Valles </t>
  </si>
  <si>
    <t xml:space="preserve">Benguet schooling experiences, nursing students motivations, Benguet nursing education and State University </t>
  </si>
  <si>
    <t>Awareness and Support of Benguet Constituents on Cordillera Regional Autonomy</t>
  </si>
  <si>
    <t xml:space="preserve">Matyline A. Camfili, Mursha D. Gapasin, Gigy G. Banes, Christian M. Licyayo and Ruth S. Batani </t>
  </si>
  <si>
    <t xml:space="preserve">autonomy, cordillera region, pulse survey, house bill 5595, indigenous peoples </t>
  </si>
  <si>
    <t>Models for Packing Circular Objects into Rectangular Spaces</t>
  </si>
  <si>
    <t xml:space="preserve">Serano L. Oryan </t>
  </si>
  <si>
    <t xml:space="preserve">packing models, circular objects and rectangular spaces </t>
  </si>
  <si>
    <t>The Implementation of Waste Segregation Scheme in La Trinidad, Benguet</t>
  </si>
  <si>
    <t xml:space="preserve">Maria Azucena B. Lubrica </t>
  </si>
  <si>
    <t xml:space="preserve">waste segregation scheme, implementation, logistic regression analysis and residents’practices </t>
  </si>
  <si>
    <t>Gender Dimensions of and Challenges in Local Health Legislation</t>
  </si>
  <si>
    <t xml:space="preserve">Ann Heather B. Kiwang </t>
  </si>
  <si>
    <t xml:space="preserve">gender mainstreaming, health legislation </t>
  </si>
  <si>
    <t>Models of Screening Bachelor of Science in Applied Statistics and Bachelor of Science in Information Technology Freshmen Applicants</t>
  </si>
  <si>
    <t xml:space="preserve">Serano L. Oryan and Salvacion Z. Beligan </t>
  </si>
  <si>
    <t xml:space="preserve">mathematical models, BSAS and BSIT freshman applicants </t>
  </si>
  <si>
    <t>21st Century Skills among the Faculty of a Teacher Education Institution in Benguet</t>
  </si>
  <si>
    <t xml:space="preserve">Imelda G. Parcasio </t>
  </si>
  <si>
    <t xml:space="preserve">21st century skills, 21st century teacher, proficiency </t>
  </si>
  <si>
    <t>Exploring the Sexual Scripts of Adolescents</t>
  </si>
  <si>
    <t xml:space="preserve">sexual scripts, cultural scripts, interpersonal scripts, intrapersonal scripts </t>
  </si>
  <si>
    <t>Factors Affecting the Academic Performance of the Student Nurses of BSU</t>
  </si>
  <si>
    <t>Sunshine B. Alos, Lawrence C. Caranto, Juan Jose T. David</t>
  </si>
  <si>
    <t>Academic performance, Home-related aspects, Personal condition, School-related aspects, Study habits, Teacher-related aspects</t>
  </si>
  <si>
    <t>Evaluation and validation of stem volume models for Quercus glauca in the subtropical forest of Jeju Island, Korea</t>
  </si>
  <si>
    <t>Yeon Ok Seo, Roscinto Ian C Lumbres, Hyun Kyu Won, Sung Cheol Jung, Young Jin Lee</t>
  </si>
  <si>
    <t>forest management, gotjawal forest, model evaluation, model validation, Mt. Halla, Sub-tropical forests</t>
  </si>
  <si>
    <t>Awareness, Understanding, and Acceptance of Student Nurses of the Vision, Mission, Goals, and Objectives of Benguet State University</t>
  </si>
  <si>
    <t>Keren Joy T. Compelio, Lawrence C. Caranto, Juan Jose T. David</t>
  </si>
  <si>
    <t>Vision, mission, Goals, and objectives (VMGO), Awareness, Understanding, and acceptance, Student nurses</t>
  </si>
  <si>
    <t>DBH-height modeling and validation for Acacia mangium and Eucalyptus pellita in Korintiga Hutani Plantation, Kalimantan, Indonesia</t>
  </si>
  <si>
    <t>Roscinto Ian C Lumbres, Young Jin Lee, Chung Weon Yun, Chang Duck Koo, Se Bin Kim, Yeong Mo Son, Kyeong Hak Lee, Hyun Kyu Won, Sung Cheol Jung, Yeon Ok Seo</t>
  </si>
  <si>
    <t>nonlinear growth models, tropical plantation, DBH-height models, evaluation statistics, model validation</t>
  </si>
  <si>
    <t>Compliance with sharps injury prevention guideline among nurses in tertiary care hospitals in the Philippine</t>
  </si>
  <si>
    <t xml:space="preserve">Jude L. Tayaben </t>
  </si>
  <si>
    <t>Needlestick injuries and prevention and control; Practice guidelines as topic; Compliance; Nurses</t>
  </si>
  <si>
    <t>Competencies of Library and Information Science Graduates: Implications for Outcomes Based Teaching and Learning</t>
  </si>
  <si>
    <t>Outcomes; Competencies; Education</t>
  </si>
  <si>
    <t>Experiential Learning In Library And Information Science (LIS) Education Through Out-Campus
Practicum</t>
  </si>
  <si>
    <t xml:space="preserve">experiential learning; out-campus practicum; competencies
</t>
  </si>
  <si>
    <t>Design, Fabrication, and Performance Evaluation of a Poato (Solanum tuberosum L.) Grader for Village Level Operations</t>
  </si>
  <si>
    <t>Marvin VALENTIN,  , Elmar VILLOTA, Vitalliana MALAMUG and Ireneo AGULTO</t>
  </si>
  <si>
    <t>Premium price, manual grading, laborious, potato grader, village-level</t>
  </si>
  <si>
    <t xml:space="preserve"> E.S. Carbungco, N.B. Pedroche, V.A. Panes, T.E. De la Cruz</t>
  </si>
  <si>
    <t>Needs and opportunities assessment and documentation on farming practices on heirloom rice production in Benguet [Philippines]</t>
  </si>
  <si>
    <t>BA Tad-awan, RS Batani, JM Sim, BS Tad-awan, CP Laurean, EJD Sagalla, TD Masangcay, MP Odiaz</t>
  </si>
  <si>
    <t>farming systems, Philippines, farmers, documentation, Oryza sativa</t>
  </si>
  <si>
    <t>Value-Adding of Cordillera Pork-based Ethnic Food Delicacy (Etag) for Commercialization</t>
  </si>
  <si>
    <t>Sonwright B Maddul, Ruth S Batani, Sherilyn B Balauro, Cynthia D Garambas, Myrna B Walsiyen</t>
  </si>
  <si>
    <t>Students’ Perspectives of Bullying Behaviors Experienced in Nursing Education: A Descriptive Cross-Sectional Study</t>
  </si>
  <si>
    <t>Jude L Tayaben, Doris S Natividad, Rovencio E Apilado</t>
  </si>
  <si>
    <t>Soil Quality Assessment of Conventional and Organic Farms in La Trinidad, Benguet</t>
  </si>
  <si>
    <t xml:space="preserve">Crissa Genice G. Datic, Carlito P. Laurean and Asuncion L. Nagpala </t>
  </si>
  <si>
    <t xml:space="preserve">conventional farms, organic farms, physical properties, chemical properties and microbial biomass </t>
  </si>
  <si>
    <t>Soil Fertility Status of Major Agricultural Areas in the Seven Municipalities of Benguet</t>
  </si>
  <si>
    <t xml:space="preserve">Carlito P. Laurean, Alexander W. Fagyan and Emilia P. Dayap </t>
  </si>
  <si>
    <t xml:space="preserve">soil nutrient, soil series, lime requirement and soil fertility status </t>
  </si>
  <si>
    <t>Growth and Yield Performance and Genotype x Environment Interaction of Cabbage Varieties under Organic Production in Benguet</t>
  </si>
  <si>
    <t xml:space="preserve">Belinda A. Tad-awan and Darwin A. Basquial </t>
  </si>
  <si>
    <t xml:space="preserve">growth and yield performance, genotype by environment interaction, cabbage varieties and organic production </t>
  </si>
  <si>
    <t>Quarantine and Other Important Diseases Affecting Economic Crops in the Cordillera</t>
  </si>
  <si>
    <t xml:space="preserve">Janet S. Luis, Jocelyn C. Perez, Grace S. Backian, Jennie T. Bawayan, Cynthia G. Kiswa and Clarence B. Codod </t>
  </si>
  <si>
    <t xml:space="preserve">quarantine diseases, semi-temperate vegetables and high value crops </t>
  </si>
  <si>
    <t>Cultivation and Conservation of Traditional Food Crops and Perceptions of Farmers on Biodiversity Loss in the Cordillera Administrative Region</t>
  </si>
  <si>
    <t xml:space="preserve">Belinda A. Tad-awan and Esther Josephine D. Sagalla </t>
  </si>
  <si>
    <t xml:space="preserve">traditional crops, traditional knowledge, conservation, Cordillera Administrative Region </t>
  </si>
  <si>
    <t>Carbon Stock Assessment of Selected Agroforestry Systems in Benguet</t>
  </si>
  <si>
    <t xml:space="preserve">Marissa R. Parao, Kenneth A. Laruan, Mendil T. Palista </t>
  </si>
  <si>
    <t xml:space="preserve">agroforestry systems, carbon stock and assessment </t>
  </si>
  <si>
    <t>Regression Analysis of the Balili River’s Biological to Physico-Chemical Characteristics</t>
  </si>
  <si>
    <t xml:space="preserve">Bretel B. Dolipas, Jovalson T. Abiasen, Joel V. Lubrica and Jennifer Lyn S. Ramos </t>
  </si>
  <si>
    <t xml:space="preserve">Balili river water system, dissolved oxygen (DO), biological oxygen demand (BOD) </t>
  </si>
  <si>
    <t>Student’s Mathematical Knowledge Construction Patterns in Problem Solving Context</t>
  </si>
  <si>
    <t xml:space="preserve">problem solving, mathematical knowledge construction patterns and thinking schemata </t>
  </si>
  <si>
    <t>Species Profile and Associated Indigenous Knowledge of Trees and Shrubs Used as Tea in Benguet</t>
  </si>
  <si>
    <t xml:space="preserve">John G. Tacloy </t>
  </si>
  <si>
    <t xml:space="preserve">Indigenous Knowledge, Tree Species, Profiling, Tea </t>
  </si>
  <si>
    <t>Artifacts Speak: Diversions of Benguet Material Culture</t>
  </si>
  <si>
    <t xml:space="preserve">Stanley F. Anongos </t>
  </si>
  <si>
    <t xml:space="preserve">Benguet material culture, diversion, artifacts, museum, antique, tourism </t>
  </si>
  <si>
    <t>Time Use Analysis: Women and Their Households as Sites for Everyday Negotiations and Organizing Community Life</t>
  </si>
  <si>
    <t xml:space="preserve">Ruth S. Batani, Gigy G. Banes and Kacy O. Labon </t>
  </si>
  <si>
    <t xml:space="preserve">time use, paid work, unpaid work, negotiations </t>
  </si>
  <si>
    <t>The Mathematics of Maximizing a Parallelepiped Box with Spherical Objects</t>
  </si>
  <si>
    <t xml:space="preserve">Parallelepiped box, maximizing space, spherical objects, and mathematical piling models </t>
  </si>
  <si>
    <t>Quellmalz Higher Order Thinking Skills and Students’ Academic Performance in Physics</t>
  </si>
  <si>
    <t xml:space="preserve">Bretel B. Dolipas, Jennifer Lyn S. Ramos and Brenda V. Villamor </t>
  </si>
  <si>
    <t xml:space="preserve">Quellmalz Higher Order Thinking Skills (HOTS), Physics Performance, Mathematics Performance </t>
  </si>
  <si>
    <t xml:space="preserve">Science and Technology Community-Based Farm on Organic Arabica Coffee Green Bean Prodcution in Sagada, Moiuntain Province </t>
  </si>
  <si>
    <t>TK Mangili, SB Maddul, CP Laurean, MC Abyado</t>
  </si>
  <si>
    <t>Certification, Value Addition, and Promotion of Organic Arabica Coffee Products in the Cordillera</t>
  </si>
  <si>
    <t>SB Maddul and CL Bulalin</t>
  </si>
  <si>
    <t>S&amp;T Based Farm on Enhanced Production of Spray-Type Chrysanthemum through Integrated Crop Management</t>
  </si>
  <si>
    <t xml:space="preserve">CP Laurean, AB Colte, ND Organo, TK Mangili and SB Maddul </t>
  </si>
  <si>
    <t>Arsenic-tolerant plant-growth-promoting bacteria isolated from arsenic-polluted soils in South Korea</t>
  </si>
  <si>
    <t>Charlotte C. Shagol, Ramasamy Krishnamoorthy, Kiyoon Kim,Subbiah Sundaram, Tongmin Sa</t>
  </si>
  <si>
    <t>Arsenic-tolerant bacteria, Genetic diversity, Plant growth promotion, Phytoremediation</t>
  </si>
  <si>
    <t>Comparative analysis of four stem taper models for Quercus glauca in Mount Halla, Jeju Island, South Korea</t>
  </si>
  <si>
    <t>Roscinto Ian Canicosa Lumbres, Young Jin Lee, Hyung Soon Choi, Sung Yong Kim, Mi Na Jang, Azyleah Cañizares Abino, Yeon Ok Seo, Chan Soo Kim, Jung Hwan Park</t>
  </si>
  <si>
    <t xml:space="preserve">Mount Halla, Merchantable stem volume, Diameter outside bark, Kozak model, Model evaluation </t>
  </si>
  <si>
    <t>Development and Evaluation of Modules in Technical Writing</t>
  </si>
  <si>
    <t>Ma. Theresa B. Nardo, Esther R. Hufana</t>
  </si>
  <si>
    <t>module development, modular instruction, evaluation, technical writing</t>
  </si>
  <si>
    <t>Aboveground biomass mapping of La Trinidad forests in Benguet, Philippines, using Landsat Thematic Mapper data and k-nearest neighbor method</t>
  </si>
  <si>
    <t>Roscinto Ian C Lumbres, Young Jin Lee</t>
  </si>
  <si>
    <t>Pinus kesiya, k-nearest neighbor, Landsat Thematic Mapper, tropical forests, aboveground biomass</t>
  </si>
  <si>
    <t>Percentile-based Weibull diameter distribution model for Pinus kesiya stands in Benguet province, Philippines</t>
  </si>
  <si>
    <t>growth and yield model, parameter recovery method, tropical forests, Weibull distribution</t>
  </si>
  <si>
    <t xml:space="preserve">The Effects of Arbuscular Mycorrhizal Fungi (AMF) as Biofertilizer on the Growth, Yield and Nutrient Uptake of Tomato (Lycopersicon esculentum Mill.) </t>
  </si>
  <si>
    <t>Precelita L. Osillos, Asuncion L. Nagpala</t>
  </si>
  <si>
    <t xml:space="preserve"> AMF, colonized roots, biofertilizer, tomato, Acaulospora</t>
  </si>
  <si>
    <t>Floral diversity assessment in Alno communal mixed forest in Benguet, Philippines</t>
  </si>
  <si>
    <t>Roscinto Ian C Lumbres, Jennifer A Palaganas, Sheryll C Micosa, Kenneth A Laruan, Elvira D Besic, Chung-Weon Yun, Young-Jin Lee</t>
  </si>
  <si>
    <t xml:space="preserve">Biodiversity, Vegetational analysis, Diversity index, Pinus kesiya </t>
  </si>
  <si>
    <t>Attitudes of student nurses enrolled in e-learning course towards academic dishonesty: a descriptive-exploratory study</t>
  </si>
  <si>
    <t xml:space="preserve">Attitudes of student nurses, e- Learning course, academic dishonesty,bacademic- integrity,responsibility </t>
  </si>
  <si>
    <t>Development of stem taper equations for Pinus kesiya in Benguet province, Philippines</t>
  </si>
  <si>
    <t>Roscinto Ian C Lumbres, Jung Kee Pyo, Young Jin Lee</t>
  </si>
  <si>
    <t>tropical forests, merchantable stem volume, diameter outside bark, forest management, model evaluation</t>
  </si>
  <si>
    <t>Laconsay, Eduardo P</t>
  </si>
  <si>
    <t>wellness, fitness, physical and environmental dimensions, health related fitness, stress debriefing activities and nutrition</t>
  </si>
  <si>
    <t>Allometric equations, stem density and biomass expansion factors for Cryptomeria japonica in Mount Halla, Jeju Island, Korea</t>
  </si>
  <si>
    <t>Sung Cheol Jung, Roscinto Ian C Lumbres, Hyun Kyu Won, Yeon Ok Seo</t>
  </si>
  <si>
    <t>allometric equation;biomass;biomass expansion factor;Cryptomeria japonica;Mount Halla;stem density</t>
  </si>
  <si>
    <t>Undertaking as a Concrete Enquiry: A Review of Penny Tinkler's Using Photographs in Social and Historical Research</t>
  </si>
  <si>
    <t>Photographs, Social and Historical Research, Qualitative Inquiry</t>
  </si>
  <si>
    <t xml:space="preserve">Assessment of the Ladderized Bachelor of Science in Entrepreneurial Technology Curriculum of Benguet State University </t>
  </si>
  <si>
    <t>Elvena P. Belino</t>
  </si>
  <si>
    <t>Ladderized Bachelor of Science in Entrepreneur Technology (BSET), Benguet State University</t>
  </si>
  <si>
    <t>Error Identification of Written Discourses of English Major Students: An Underpinning for a Program Study</t>
  </si>
  <si>
    <t>error identification, written discourses, English majors</t>
  </si>
  <si>
    <t xml:space="preserve">“TRUE” Measure of Lithophytes Diversity Across Microclimate </t>
  </si>
  <si>
    <t>Norbert Q. Angalan, Gaudelia A. Reyes and Romeo A. Gomez, Jr.</t>
  </si>
  <si>
    <t>diversity, microclimate, lithophytes</t>
  </si>
  <si>
    <t>Potential of Bacillus Subtilis Against Powder Mildew of Garden Pea</t>
  </si>
  <si>
    <t>LM Villanueva, JZD Ibis, AS Dayao</t>
  </si>
  <si>
    <t>KFS-P34: Weibull Diameter Distribution Modelling for Benguet pine (Pinus kesiya) stands of the Northern Province in the Philippines</t>
  </si>
  <si>
    <t>Roscinto Ian C Lumbres, Hyun Kyu Won, Sung Cheol Jung, Yeon Ok Seo, Young Jin Lee</t>
  </si>
  <si>
    <t>Variety evaluation, on-farm trials and genotype x environment (G x E) analysis, on semi-temperate vegetable for organic production in four agro-ecological zones of the Cordillera highlands [Philippines]</t>
  </si>
  <si>
    <t>BA Tad-awan, DF Basquial</t>
  </si>
  <si>
    <t>Lycopersicon esculentum, Brassica chinensis, Brassica oleracea capitata, Philippines, Daucus carota</t>
  </si>
  <si>
    <t xml:space="preserve">Price volatility of selected high value vegetables in Cordillera Administrative Region, Philippines </t>
  </si>
  <si>
    <t>Samuel L. Duyan, Leopoldo N. Tagarino</t>
  </si>
  <si>
    <t>Price volatility, price trend, highland vegetables</t>
  </si>
  <si>
    <t>Screening of Sweetpotato Genotyoes for Water Stress Resistance</t>
  </si>
  <si>
    <t>Agnes C. Perey, Belinda A. Tad-awan</t>
  </si>
  <si>
    <t xml:space="preserve">genotypes, drought resistance, greenhouse </t>
  </si>
  <si>
    <t>Analysis of the Level of Inquiry in the Undergraduate Science Education Laboratory</t>
  </si>
  <si>
    <t>Inquiry, Levels of Inquiry, Science education majors, K – 12 science education</t>
  </si>
  <si>
    <t>Nutritional Status and School Performance of 4P’s Elementary School Children in La Trinidad, Benguet</t>
  </si>
  <si>
    <t>Johanne D. Martinez, Vallorie T. Medona, Gia Lenn L. Mendoza and Kryme D. Rosita</t>
  </si>
  <si>
    <t>The Solo Parents Welfare Act: Its Implementation in the Cordillera Administrative Region</t>
  </si>
  <si>
    <t>Cecile Aguilan-Basawil and Bernard S. Tad-awan</t>
  </si>
  <si>
    <t>Carbon Stocked and Carbon Sequestered by Eight-Year Alnus (Alnus japonica)</t>
  </si>
  <si>
    <t xml:space="preserve">John G. Tacloy and Lanie C. Paran </t>
  </si>
  <si>
    <t xml:space="preserve">Carbon stock, CO2 sequestration, above-ground and below-ground biomass, artificial Alnus stand </t>
  </si>
  <si>
    <t>Performance of New Sweetpotato Entries under La Trinidad, Benguet Conditions</t>
  </si>
  <si>
    <t xml:space="preserve">Ines C. gonzales, Esther T. Botangen and Donita K. Simongo </t>
  </si>
  <si>
    <t xml:space="preserve">Sweetpotato, processing, development </t>
  </si>
  <si>
    <t>Sweetpotato Product Development: Modified Yoghurt, Hopia and Vinegar</t>
  </si>
  <si>
    <t xml:space="preserve">Esther T. Botangen, Joyce K. Mama-o and Ines C. Gonzales </t>
  </si>
  <si>
    <t>Weaving for Life: Designs and Motifs in the Inabel of Bontoc Weaver Respondents in Baguio City</t>
  </si>
  <si>
    <t xml:space="preserve">abel or inabel; ethnic motif </t>
  </si>
  <si>
    <t>Correlation of the High School Average Grade, College Academic Performance and Clinical Performance of BSU BSN Batch 2012</t>
  </si>
  <si>
    <t>Vicente G. Panagan, Jr., Annabelle M. Na-oy, Aimelyn Joy D. Napeek, Dorcas B. Orias, Wilma B. Padawil</t>
  </si>
  <si>
    <t xml:space="preserve">Correlation, High School Average Grade (HSAG), College Academic Performance (CAP), College Clinical Performance (CCP), General Weighted Average (GWA) </t>
  </si>
  <si>
    <t>Morphological Variations, Yield Performance and GxE Interaction Analysis in Arabica Coffee Cultivars For Organic Production in Benguet</t>
  </si>
  <si>
    <t xml:space="preserve">Belinda. A. Tad-awan and Joyce. D. Doco </t>
  </si>
  <si>
    <t xml:space="preserve">Arabica Coffee Cultivars, G X E Interaction Analysis Organic Production </t>
  </si>
  <si>
    <t>Management of Clubroot (Plasmodiophora brassicae Wor.) on Cabbage Using Trichoderma KA and Lime in Natubleng, Buguias Benguet</t>
  </si>
  <si>
    <t xml:space="preserve">Jake M. Bulcio and Asuncion L. Nagpala </t>
  </si>
  <si>
    <t xml:space="preserve">Collection, Identification and Characterization of Indigenous Fruits in Benguet and Mountain Province </t>
  </si>
  <si>
    <t xml:space="preserve">Araceli G. Ladilad , Franklin G. Bawang , Fernando R. Gonzales Silvestre L. Kudan and Alma C. Antonio-Amado </t>
  </si>
  <si>
    <t xml:space="preserve">Indigenous, exotic, staple food, thickets </t>
  </si>
  <si>
    <t>Pathologic Reaction of Garden Pea (Pisum sativum L) Cultivars/Advanced Breeding Lines to Fusarium oxysporum f sp pisi (Linford) Synder and Hansen</t>
  </si>
  <si>
    <t>J. R. P.Dimaguiba, L. M. Villanueva and J.S. Luis</t>
  </si>
  <si>
    <t xml:space="preserve">resistance, inoculation, Fusarium oxysporum f sp pisi, plant parameters, necrotic lesion score </t>
  </si>
  <si>
    <t>Profitability of Chipped Alder as Substrate for Shiitake Production</t>
  </si>
  <si>
    <t xml:space="preserve">Bernard S. Tad-awan </t>
  </si>
  <si>
    <t xml:space="preserve">Shiitake, alder, wood chip particle size, growing bags, biological efficiency, profitability </t>
  </si>
  <si>
    <t>Development of Root Crops Wheat Flour Formulations for Quality Fresh Miki Noodles</t>
  </si>
  <si>
    <t>VB Salda and CB Esnara</t>
  </si>
  <si>
    <t>Higher order thinking skills and academic performance in physics of college students: A regression analysis</t>
  </si>
  <si>
    <t>Jennifer Lyn S Ramos, Bretel B Dolipas, Brenda B Villamor</t>
  </si>
  <si>
    <t>Higher order thinking skills, academic performance, physics, college students, regression
analysis</t>
  </si>
  <si>
    <t>Cataloging and Classification Skills of Library and Information Science Practitioners in their Workplaces: A Case Analysis</t>
  </si>
  <si>
    <t>Russell B. Dolendo and David A. Cabonero</t>
  </si>
  <si>
    <t>Cataloging skills, Catalogers, Subject analysis, Descriptive cataloging, Subject cataloging, Case analysis, Library practitioners</t>
  </si>
  <si>
    <t>Influence of stand age class on biomass expansion factor and allometric equations for Pinus rigida plantations in South Korea</t>
  </si>
  <si>
    <t>Yeon Ok Seo, Young Jin Lee, Roscinto Ian C Lumbres, Jung Kee Pyo, Rae Hyun Kim, Yeong Mo Son, Kyeong Hak Lee</t>
  </si>
  <si>
    <t>Age classes, allometric equations, biomass expansion factor, biomass partitioning, stem density</t>
  </si>
  <si>
    <t>Model fitting and validation of six height–DBH equations for Pinus kesiya Royle ex Gordon in Benguet Province, Philippines</t>
  </si>
  <si>
    <t>Roscinto Ian C Lumbres, Young Jin Lee, Feliciano G Calora Jr, Marissa R Parao</t>
  </si>
  <si>
    <t>Pinus kesiya , nonlinear growth functions, height–DBH relationship, Modified Logistic model, forest inventory</t>
  </si>
  <si>
    <t>Development and validation of stem volume models for Pinus kesiya in Benguet province, Philippines</t>
  </si>
  <si>
    <t>forest management, model evaluation,  Pinus kesiya , tropical forests, volume equations</t>
  </si>
  <si>
    <t>Plant-parasitic nematodes associated with semi-temperate vegetables in the highlands of Benguet Province, Philippines</t>
  </si>
  <si>
    <t>Nordalyn B Pedroche, Luciana M Villaneuva, Dirk De Waele</t>
  </si>
  <si>
    <t>frequency of occurrence, highlands, Philippines, plant-parasitic nematodes, population density, survey, vegetables</t>
  </si>
  <si>
    <t>Online Student Information System Of Benguet State University (OSIS-BSU)</t>
  </si>
  <si>
    <t>Rochelle D. Pacio</t>
  </si>
  <si>
    <t>Benguet State University, Online Student Information System (OSIS), Rapid Application Development (RAD), Database, Client and Server</t>
  </si>
  <si>
    <t>Food Sufficiency in the Terraces: The Case of Globally-Important Agricultural Heritage Systems In Ifugao, Central Cordillera, Philippines</t>
  </si>
  <si>
    <t>Romeo Gomez Jr.</t>
  </si>
  <si>
    <t>Potential of Bacillus subtilis against powder mildew of garden pea</t>
  </si>
  <si>
    <t>biological control, biological control agents, crop yield, egg yolk, fungal diseases, garlic, leaves, natural enemies, pathogens, peas, plant disease control, plant diseases, plant extracts, plant pathogenic fungi, plant pathogens, rapeseed oil, silicon, sodium bicarbonate, stems, sweet peppers, vegetables, mildews, powdery mildew</t>
  </si>
  <si>
    <t>Assault and Violence Prevention and Management in In-Patient Psychiatric Units</t>
  </si>
  <si>
    <t>Jocelyn C. Perez</t>
  </si>
  <si>
    <t>Violence prevention, crisis management, assaults, aggression, practice guidelines</t>
  </si>
  <si>
    <t>Rhizobacteria: Restoration of Heavy Metal-Contaminated Soils</t>
  </si>
  <si>
    <t>Seifeddine Ben Tekaya, Sherlyn Tipayno, Kiyoon Kim, Parthiban Subramanian, Tongmin Sa</t>
  </si>
  <si>
    <t xml:space="preserve">Heavy Metal, Metal Uptake, Metal Removal, Plant Growth Promotion, Metal Stress </t>
  </si>
  <si>
    <t>Graphic Materials as Catalyst in Reading Comprehension</t>
  </si>
  <si>
    <t>Graphic Materials, Reading Comprehension, Authentic Materials, Reading Materials, Reading Comprehension Skill, Philippines</t>
  </si>
  <si>
    <t>Evaluation and solution of potato genotypes under organic production systems in low mountain zone of Benguet, Philippines</t>
  </si>
  <si>
    <t>BA Tad-awan, JC Perez, DA Basquial, JC Orlag</t>
  </si>
  <si>
    <t>productivity, team, Philippines, disease resistance, evaluation</t>
  </si>
  <si>
    <t>Arabica coffee in the Northern Philippine highlands: growing areas and cultivars for organic production </t>
  </si>
  <si>
    <t>Tad-awan, B.A. Macanes, V.L. Amado, V.Y. Doco, J.D.</t>
  </si>
  <si>
    <t>Philippines, genetic Variation, industrial location, germplasm collections, organic farming, Coffea arabica, mountainous terrain, plant selection, varieties, plant genetics, outdoor contents</t>
  </si>
  <si>
    <t xml:space="preserve">Assessment of Plant Diversity, Biomass and Carbon Sequestration Potential of Natural Mangrove Forest in Samar, Philippines
</t>
  </si>
  <si>
    <t>Azyleah C Abino, Jose Alan A Castillo, Roscinto Ian C Lumbres, Sung Yong Kim, Mi Na Jang, Young Jin Lee</t>
  </si>
  <si>
    <t>Modeling of the Stem Taper of Quercus glauca in Jeju Island, South Korea</t>
  </si>
  <si>
    <t>Roscinto Ian C Lumbres, Young Jin Lee, Sung Yong Kim, Mi Na Jang, Azyleah C Abino, Hyung Soon Choi, Yeon Ok Seo, Chan Soo Kim, Jung Hwan Park</t>
  </si>
  <si>
    <t>In-Situ Morphological Characterization and Diversity Analysis in Traditional Arabica Cultivars in Benguet</t>
  </si>
  <si>
    <t xml:space="preserve">Belinda A. Tad-awan and Joyce D. Doco </t>
  </si>
  <si>
    <t xml:space="preserve">In-situ Morphological Characterization, Diversity Analysis and Traditional Arabica coffee </t>
  </si>
  <si>
    <t>Growing Areas and Traditional Production Practices of Arabica Coffee in Benguet</t>
  </si>
  <si>
    <t xml:space="preserve">Belinda A. Tad-awan, Von Y. Amado and Joyce D. Doco </t>
  </si>
  <si>
    <t xml:space="preserve">Growing Areas, Traditional Production Practices, Arabica Coffee and Agro-ecological Zones </t>
  </si>
  <si>
    <t>Development of Sustainable Disease Management Strategies in Strawberry Production in Benguet, Philippines: A Review</t>
  </si>
  <si>
    <t xml:space="preserve">Luciana M. Villanueva </t>
  </si>
  <si>
    <t xml:space="preserve">Benguet province, nematodes, cultivar, Sweet Charlie, pathogen, biocontrol </t>
  </si>
  <si>
    <t>Pathologic Reaction of Garden Pea (Pisum sativum L) Cultivars/Advanced Breeding Lines to Root-Knot Nematode, Meloidogyne incognita (Kofoid and White) Chitwood</t>
  </si>
  <si>
    <t xml:space="preserve">J.R.P.Dimaguiba and L. M. Villanueva </t>
  </si>
  <si>
    <t xml:space="preserve">resistance, inoculation, root galls, eggmasses, plant parameters </t>
  </si>
  <si>
    <t>Relationship Between University Students’ Multiple Intelligences and Academic Performance</t>
  </si>
  <si>
    <t xml:space="preserve">M. A. B. Lubrica &amp; J. V. Lubrica </t>
  </si>
  <si>
    <t xml:space="preserve">Multiple Intelligences, Academic Performance, Statistics Students </t>
  </si>
  <si>
    <t>Negotiating Climate Change: Vulnerabilities and Resilience of Four Benguet Communities</t>
  </si>
  <si>
    <t xml:space="preserve">Batani, Ruth S., J. Napaldet, M. Camfili, M. Gapasin, K. C. Ngina </t>
  </si>
  <si>
    <t>Development of a Graduate Educational Research Competency Test</t>
  </si>
  <si>
    <t>J. L. S. Montemayor</t>
  </si>
  <si>
    <t xml:space="preserve">test development, research competency, graduate education, principal component analysis </t>
  </si>
  <si>
    <t>Geographic Information System of Vegetable and Crop Production in Benguet</t>
  </si>
  <si>
    <t xml:space="preserve">J. B. Lacea </t>
  </si>
  <si>
    <t xml:space="preserve">Decision-Support System, Factor Analyses, GPS, Information System, Spatial Data Analysis, Software Architecture, UM </t>
  </si>
  <si>
    <t>Evaluation of height-diameter models for three tropical plantation species in the Philippines</t>
  </si>
  <si>
    <t>Roscinto Ian C Lumbres, Dalisay E Cabral, Marissa R Parao, Yeon Ok Seo, Young Jin Lee</t>
  </si>
  <si>
    <t>Development of height-dbh growth model and biomass estimation of Pinus kesiya Royle ex Gordon in La Trinidad, Benguet, Philippines</t>
  </si>
  <si>
    <t>Roscinto Ian C Lumbres, YoungJin Lee, YeonOk Seo</t>
  </si>
  <si>
    <t>Chapman-Richards equation, forest management, pitch pine, site quality</t>
  </si>
  <si>
    <t>Partitioning of above and belowground biomass and allometry in the two stand age classes of Pinus rigida in South Korea</t>
  </si>
  <si>
    <t>Yeon Ok Seo, Roscinto Ian C Lumbres, Young Jin Lee</t>
  </si>
  <si>
    <t>Allometric equation, carbon, Pinus rigida, stand age, tree component biomass</t>
  </si>
  <si>
    <t>Development of site index curves for Pinus kesiya in the Philippines</t>
  </si>
  <si>
    <t>RIC Lumbres, YJ Lee, YO Seo, FG Calora Jr</t>
  </si>
  <si>
    <t>Chapman-Richards function, dominant height, height–age growth model, site quality</t>
  </si>
  <si>
    <t>Actinobacteria Isolation from Metal Contaminated Soils for Assessment of their Metal Resistance and Plant Growth Promoting (PGP) Characteristics</t>
  </si>
  <si>
    <t>Seifeddine BEN TEKAYA, Sherlyn Tipayno, Murugesan Chandrasekaran, Woojong Yim, and Tongmin Sa</t>
  </si>
  <si>
    <t>Actinobacteria, Metal resistance, Bioremediation, PGP</t>
  </si>
  <si>
    <t>Managing mine spoil through bioremediation efforts</t>
  </si>
  <si>
    <t>M. Parao</t>
  </si>
  <si>
    <t>amelioration of forest sites, degraded land, ecological restoration, hyperaccumulator plants, hyperaccumulators, land degradation, mine spoil, mined land, mycorrhizal fungi, mycorrhizas, phytoremediation, rehabilitation, restoration ecology</t>
  </si>
  <si>
    <t>Comparative analysis of nonlinear height-dbh models for Quercus species in South Korea</t>
  </si>
  <si>
    <t>Roscinto Ian C Lumbres, YeonOk Seo, SungYong Kim, MiNa Jang, JungKee Pyo, Young Jin Lee</t>
  </si>
  <si>
    <t>diameter, equations, forest inventories, forest management, forests, growth models, height, mathematical models</t>
  </si>
  <si>
    <t>Development of Height-Age Model and Site Index Curves for Pinus rigida Plantations in South Korea</t>
  </si>
  <si>
    <t xml:space="preserve">Chapman-Richards equation, forest management, pitch pine, site quality </t>
  </si>
  <si>
    <t>Biodiversity Assessment of La Trinidad Communal Forest, Benguet, Philippines</t>
  </si>
  <si>
    <t>Roscinto Ian C Lumbres, Jennifer A Palaganas, Sheryll C Micosa, Elvira D Besic, Kenneth A Laruan, Chung Weon Yun, Young Jin Lee</t>
  </si>
  <si>
    <t>Estimation of Height Growth Patterns and Site Index Curves of Pinus kesiya in Philippines</t>
  </si>
  <si>
    <t>Roscinto Ian C Lumbres, Yeon Ok Seo, Feliciano G Calora Jr, Young Jin Lee</t>
  </si>
  <si>
    <t>Species Composition and Carbon Stock Assessment of Trees in Burnham Park, Baguio City, Philippines</t>
  </si>
  <si>
    <t>Roscinto Ian C Lumbres, Marissa R Parao, Feliciano G Calora Jr, Kenneth A Laruan, Young Jin Lee</t>
  </si>
  <si>
    <t>Cognitive Learning Strategies among Teacher Education Students: Their Implications for Improving Classroom Practices</t>
  </si>
  <si>
    <t>Percyveranda A Lubrica, Janetlynn S Montemayor, Desiree F Botengan, Manolita N Alvaro, Arnulfo C Capili, Divina M Yango, Evelyn S Angiwan, Alma Vida G Gallardo</t>
  </si>
  <si>
    <t>Osmoconditioning seeds of four crop species using botanical extracts</t>
  </si>
  <si>
    <t>Yawman, M. Padua, D.P</t>
  </si>
  <si>
    <t>Osmoconditioning, botanical extracts, seed germination</t>
  </si>
  <si>
    <t>Minituber seed production on ubi (Deoscorea alata Linn) through nodal stem cuttings</t>
  </si>
  <si>
    <t>PA Dalang, CG Kiswa</t>
  </si>
  <si>
    <t>tubers, seed production, plant propagation, climbers, Dioscorea alata, yields, cuttings</t>
  </si>
  <si>
    <t>Development of grits from locally grown pigeon pea (kadyos)</t>
  </si>
  <si>
    <t>FR Gonzales, HL Quinadara, IC Gonzales, ET Botangen</t>
  </si>
  <si>
    <t>food preservation, processed plant products, nutritive value, pigeon peas, Cajanus cajan, proximate composition, food processing</t>
  </si>
  <si>
    <t>Potential of organic-based products for the management of powdery mildew and Fusarium wilt in garden pea under greenhouse conditions</t>
  </si>
  <si>
    <t>L Villanueva, J Ibis, E Yadyador, A Dayao</t>
  </si>
  <si>
    <t>wines, garlic, rapeseed oil, peas, Fusarium oxysporum, wilts, organic foods, mildews, Erysip hepisi, disease control, Pisum sativum, egg yolk, Antidesma bunius, plant diseases</t>
  </si>
  <si>
    <t>Science and technology based interventions to improve the productivity and income of sweet potato and potato farmers</t>
  </si>
  <si>
    <t>DK Simongo, HL Quindara, ET Botangen</t>
  </si>
  <si>
    <t>technology, technology transfer, crop yield, farming systems, farmers, Ipomoea batatas, plant breeding, innovation adoption, income, Solanum tuberosum, productivity, varieties, diffusion of information, plant genetics</t>
  </si>
  <si>
    <t>Linking farmers to the improved seed potato production technology for sustainable production of quality planting materials</t>
  </si>
  <si>
    <t>CG Kiswa, JC Perez, PA Dalang, TD Masangcay, GS Backian</t>
  </si>
  <si>
    <t>technology, technology transfer, farmers, economic development, seed potatoes, development policies, Solanum tuberosum, potatoes, production, diffusion of information</t>
  </si>
  <si>
    <t>Evaluation of semi-temperate vegetables (cabbage, chinese cabbage and carrot) accessions under organic conditions in Benguet [Philippines]</t>
  </si>
  <si>
    <t>BA Tad-awan, JC Perez, JC Orlang</t>
  </si>
  <si>
    <t>Brassica oleracea capitata, Philippines, Daucus carota, organic fertilizers, Chinese cabbage (vegetables), application rates, productivity, evaluation, types of farming, mountainous terrain, plant selection, fertilization, varieties, dry season, plant genetics, rain season</t>
  </si>
  <si>
    <t>Adaptability of green soybean accessions in low and mid-mountain zones of Benguet [Philippines]</t>
  </si>
  <si>
    <t>BA Tad-awan, JP Pablo, JD Sagalla, GA Payangdo</t>
  </si>
  <si>
    <t>productivity, adaptability, Philippines, crop productivity, soy (vegetable), industrial location, mountainous terrain, plant selection, Glycine max, plant genetics</t>
  </si>
  <si>
    <t>Incidence, damage potential and management of the root-knot nematode Meloidogyne incognita on semi-temperate vegetables in the Highlands of Benguet Province, Philippines</t>
  </si>
  <si>
    <t>Pedroche, Nordalyn B.</t>
  </si>
  <si>
    <t>Meloidogyne incognita, Semi-temperate vegetables</t>
  </si>
  <si>
    <t>Early Childhood Education in the Philippines: Administration and teaching practices</t>
  </si>
  <si>
    <t>Percyveranda A Lubrica, Chul Woo Lee, Evelyn Angiwan</t>
  </si>
  <si>
    <t>Philippines, administration, determinant factors, benchmarking</t>
  </si>
  <si>
    <t>Blended Learning and Academic Performance on Problem Solving and Programming I of Bachelor of Science in Information Technology</t>
  </si>
  <si>
    <t>F. Teofilo, M. Sajise, B. Dolipas, M.T. Cachero</t>
  </si>
  <si>
    <t>blended learning, face-to-face mode, academic performance</t>
  </si>
  <si>
    <t>Tad-awan, B.A. Perez, J.C. Orlang, J.C.</t>
  </si>
  <si>
    <t>Brassica oleracea capitata, Daucus carota, Philippines
organic fertilizers, chinese cabbages, application rates, crop yield, evaluation, plant breeding, cultural methods, highlands, fertilization, varieties, dry season, plant genetics, wet season</t>
  </si>
  <si>
    <t>Indigenous Songs: An Intercultural Communication Strategy for Social Values Development among the Youth of Benguet, Philippines</t>
  </si>
  <si>
    <t>Gretchen Shagami C. Mangahas</t>
  </si>
  <si>
    <t>Indigenous songs, cultural values, social values, local language, youth development, communication strategy</t>
  </si>
  <si>
    <t>Pansig'dan: Promoting Well-being in an Agricultural Community in Northen Luzon, Philippines</t>
  </si>
  <si>
    <t>Ruth S. Batani, Stanley F. Anongos, Jr., Mursha D. Gapasin, Rachele D. De Guzman, Betty C. Listino, Beverly C. Sa-ao, Tecah C. Sagandoy, Gregorio C. Taag</t>
  </si>
  <si>
    <t>Rates of Formulated Organic Liquid Plant Supplement for Carrot (Daucus carota) Grown in Farm under Conversion to Organic Production</t>
  </si>
  <si>
    <t xml:space="preserve">Carlito P. Laurean and Asuncion L. Nagpala </t>
  </si>
  <si>
    <t>Time Use Study: Exploring the Linkages between Well Being and Climate Change, A Case Study of Farming Communities in Northern Philippines</t>
  </si>
  <si>
    <t>Milk Feeding Practices and Knowledge on Breastfeeding among Nursing Employees in Selected Government Offices in Baguio City and La Trinidad, Benguet</t>
  </si>
  <si>
    <t>Imelda P. Olatic-Degay</t>
  </si>
  <si>
    <t>Cytological Effects of Medicinal Plant Extracts using the Allium Test</t>
  </si>
  <si>
    <t xml:space="preserve">Elizabeth T. Dom-ogen and Lorenza G. Lirio </t>
  </si>
  <si>
    <t>Phytonutrient Analyses of Panawil (Leptosalena haenkei, C. Presl)</t>
  </si>
  <si>
    <t xml:space="preserve">J.N. Paing and L.P. Pladio </t>
  </si>
  <si>
    <t xml:space="preserve">phytochemicals, endemic, Benguet, and Mountain Province </t>
  </si>
  <si>
    <t>Characterization and Evaluation of Arabica Coffee Strains at the Benguet State University for Arabica Coffee Production in CAR</t>
  </si>
  <si>
    <t>VL Macanes, LB Malucay, VY Amado</t>
  </si>
  <si>
    <t>Influence of Varying Degree of Salinity-Sodicity Stress on Enzyme Activities and Bacterial Populations of Coastal Soils of Yellow Sea, South Korea</t>
  </si>
  <si>
    <t>Siddikee Md. Ashaduzzaman, Sherlyn C. Tipayno, Ki Yoon Kim, Jong Bae Chung, Tong Min Sa</t>
  </si>
  <si>
    <t>Coastal soil, salinity, sodicity, soil enzyme activity,
bacterial population</t>
  </si>
  <si>
    <t>Development and validation of nonlinear height–DBH models for major coniferous tree species in Korea</t>
  </si>
  <si>
    <t>Roscinto Ian C Lumbres, Young Jin Lee, Yeon Ok Seo, Sung Ho Kim, Jung Kee Choi, Woo Kyun Lee</t>
  </si>
  <si>
    <t>height–DBH models, National Forest Inventory, nonlinear growth functions</t>
  </si>
  <si>
    <t>Psychrotolerance Mechanisms in Cold-Adapted Bacteria and their Perspectives as Plant Growth-Promoting Bacteria in Temperate Agriculture</t>
  </si>
  <si>
    <t>Parthiban Subramanian, Manoharan Melvin Joe, Woojong Yim, Bohui Hong, Sherlyn C. Tipayno,
Venkatakrishnan Sivaraj Saravanan, Jaehong Yoo, Jongbae Chung , Tahera Sultana and Tongmin Sa</t>
  </si>
  <si>
    <t>Psychrotrophs, Psychrophiles, Cold-adaptation Mechanisms, Plant growth-promoting bacteria</t>
  </si>
  <si>
    <t>Evaluation of Potato Entries for Yield and Fry Quality Grown in Different Elevations of Benguet, Philippines</t>
  </si>
  <si>
    <t>D.K. Simongo, I.C. Gonzales and E.J.D. Sagalla</t>
  </si>
  <si>
    <t>varieties, across locations, germplasm, vigor, canopy cover</t>
  </si>
  <si>
    <t>Use of Terminal Restriction Length Polymorphism (T-RFLP) Analysis to Evaluate Uncultivable Microbial Community Structure of Soil</t>
  </si>
  <si>
    <t>Puneet Singh Chauhan, Charlotte C. Shagol, Woojong Yim, Sherlyn C. Tipayno, Chang-Gi Kim, and Tongmin Sa</t>
  </si>
  <si>
    <t>Microbial diversity, Community structure, T-RFLP, 16S rRNA</t>
  </si>
  <si>
    <t>Effects of Metal and Metalloid Contamination on Microbial Diversity and Activity in Agricultural Soils</t>
  </si>
  <si>
    <t>Sherlyn C. Tipayno, Puneet S. Chauhan, Sungman Woo, Bohee Hong, Keewoong Park, Jongbae Chung, and Tongmin Sa</t>
  </si>
  <si>
    <t>Metals, Metalloid, Microbial diversity, Microbial activity, Agricultural soils</t>
  </si>
  <si>
    <t>Coix lacryma-jobi linn.-an underutilized grass for food security and economic empowerment of rural communities</t>
  </si>
  <si>
    <t>Lirio, L.G., Paing, J.N., Lan-ew, R.K.</t>
  </si>
  <si>
    <t>Benguet Philippines, Poaceae, Job's tears, ornaments, biodiversity, livelihood, adlay</t>
  </si>
  <si>
    <t>Phytochemical screening and antibacterial potentials of Maoutia setosa Wedd., an underutilized plant in the Cordillera administrative region, Luzon, Philippines</t>
  </si>
  <si>
    <t xml:space="preserve"> K.A. Ballada, D.L. Domondon</t>
  </si>
  <si>
    <t>decoction, infusion, poultice extract, Staphylococcus aureus, Staphylococcus epidermidis, Pseudomonas aeruginosa, Escherichia coli</t>
  </si>
  <si>
    <t>Attributes of Distracters of Multiple Choice Items with Potentially Biased Options</t>
  </si>
  <si>
    <t>Janet Lynn S. Montemayor</t>
  </si>
  <si>
    <t>distracter response analysis, item bias, distracter analysis, research competency</t>
  </si>
  <si>
    <t>" Betag": first locally-bred NSIC-approved variety of garden pea (Pisum sativum) for commercialization in Benguet</t>
  </si>
  <si>
    <t>Leoncia L Tandang, Bonifacio A Kebasen, Bernard B Amlos, Amelia M Kimeu, Rodel G Maghirang</t>
  </si>
  <si>
    <t>crop yield, cultivars, hybridization, peas, variety trials</t>
  </si>
  <si>
    <t>Morphological characterization, diversity analysis and evaluation of coffee species from different agro-ecological zones of Benguet Province [Philippines]</t>
  </si>
  <si>
    <t>BA Tad-awan, JP Pablo</t>
  </si>
  <si>
    <t>Philippines, biodiversity, kinds, germplasm collections, evaluation, genetic resources, plant selection, Coffea, plant genetics</t>
  </si>
  <si>
    <t>Traditional rice cultivars for wet season cropping in Benguet, Philippines</t>
  </si>
  <si>
    <t>BA Tad-awan, EJD Sagalla, MP Tosay</t>
  </si>
  <si>
    <t>productivity, Philippines, crop productivity, evaluation, economically important features of plants, plant selection, Oryza sativa, autochthonous organisms, varieties, plant genetics, rain season</t>
  </si>
  <si>
    <t>Strengthening public-private partnership in technology commercialization and enterprise development: the case of the potato seed production program</t>
  </si>
  <si>
    <t>JC Perez, CG Kiswa, PA Dalang, TK Mangili, L Mocati</t>
  </si>
  <si>
    <t>crop yield, technology, on-farm research,  profit, commercialization, spacing, seed production, seed potatoes, marketing, propagation materials, floor husbandry</t>
  </si>
  <si>
    <t>Repetitive harvesting for G-zero tuber seed production in the greenhouse</t>
  </si>
  <si>
    <t>PA Dalang, CG Kiswa, JC Perez, LM Pacuz</t>
  </si>
  <si>
    <t>handling, tubers, storage, plant products, economic analysis, seed potatoes, Solanum tuberosum, harvesting, varieties, harvesting frequency, protection, transport</t>
  </si>
  <si>
    <t>Response of chickpea (Cicer arietinum L.) to different sources of organic fertilizers under Philippine condition</t>
  </si>
  <si>
    <t>Gonzales, F. R. ;  Mula, M. G. ;  Mula, R. P. ;  Gaur, P. M. ;  Rathore, A.</t>
  </si>
  <si>
    <t>chickpeas, composts, crop growth stage, crop yield, cultivars, organic fertilizers, phenology, productivity, seeds</t>
  </si>
  <si>
    <t xml:space="preserve">Insecticide resistance management: sharing the
experience on diamondback moth in the Philippines </t>
  </si>
  <si>
    <t xml:space="preserve">Molitas-Colting, L., Cardona Jr., E.V. </t>
  </si>
  <si>
    <t xml:space="preserve">cabbage, Cotesia, Diadegma, diamondback moth,
insecticide resistance </t>
  </si>
  <si>
    <t>Development of Chickpea (Garbanzos) nutri-food products</t>
  </si>
  <si>
    <t>IC Gonzales, FR Gonzales, HL Quindara, ET Botangen, PB Belino</t>
  </si>
  <si>
    <t>food preservation, organoleptic properties, Philippines, food composition, flours, proximate composition, food processing, chemicophysical properties, bakery products, chickpeas, varieties, quality</t>
  </si>
  <si>
    <t>Morphological Diversity Analysis of Rice Landraces in Benguet</t>
  </si>
  <si>
    <t>Belinda A. Tad-awan and Esther Josephine D. Sagalla</t>
  </si>
  <si>
    <t xml:space="preserve">Rice landraces, morphological diversity analysis, germplasm </t>
  </si>
  <si>
    <t xml:space="preserve">Perceptions on Global Climate Change at Benguet State University </t>
  </si>
  <si>
    <t xml:space="preserve">Jennifer Lyn S. Ramos and Brenda O. Bua-ay </t>
  </si>
  <si>
    <t>Climate change, perceptions, level of awareness, academe, survey</t>
  </si>
  <si>
    <t>Rasch Analysis of the NBC 461 Instrument for Faculty Evaluation</t>
  </si>
  <si>
    <t>Maria Azucena B. Lubrica and Joel V. Lubrica</t>
  </si>
  <si>
    <t>Faculty evaluation; Rasch analysis</t>
  </si>
  <si>
    <t>Secularization of the Sacred: “Bendian” Through the Passage of Time</t>
  </si>
  <si>
    <t xml:space="preserve">Filmore Y. Awas </t>
  </si>
  <si>
    <t>bendian, culture, indigenous people, community dialogue and stage performance</t>
  </si>
  <si>
    <t>Ecological Impact Evaluation of a Bioremediation Study in a Mine Waste Dump</t>
  </si>
  <si>
    <t>MR Parao, J Zarate, DM Cabanilla, RI Lumbres</t>
  </si>
  <si>
    <t>Digitalizing Folkstory Telling for Instructional Purposes</t>
  </si>
  <si>
    <t>FY Awas, CG B Sidchogan, AL B Wakat</t>
  </si>
  <si>
    <t>Management of root knot nematode, Meloidogyne incognita in cucumber (Cucumis sativus) using silicon.</t>
  </si>
  <si>
    <t>C Dugui-Es, N Pedroche, L Villanueva, J Galeng, D Waele De</t>
  </si>
  <si>
    <t>Response of six strawberry (Fragaria x ananassa Duch.) cultivars to the root lesion nematode (Pratylenchus penetrans Filipjev and Schurmanns Stekhoven).</t>
  </si>
  <si>
    <t>L Villanueva, M Flores, N Pedroche</t>
  </si>
  <si>
    <t>Geographic information system based floral and faunal assessment of Alapang communal forest of Benguet, Philippines</t>
  </si>
  <si>
    <t>Roscinto Ian C Lumbres, Jennifer A Palaganas, Sheryll C Micosa, Elvira D Besic, Kenneth A Laruan, Chung-Weon Yun, Young-Jin Lee</t>
  </si>
  <si>
    <t>Alapang communal forests;Pinus kesiya;diversity index;GIS</t>
  </si>
  <si>
    <t>Views on Environmental Concerns of University Graduate Students</t>
  </si>
  <si>
    <t>Disease management in strawberry production: The Philippine experience</t>
  </si>
  <si>
    <t>L.M Villanueva</t>
  </si>
  <si>
    <t>Management practices in potato production of three potato varieties by farmers in Benguet, Philippines</t>
  </si>
  <si>
    <t>DK Simongo, BT Gayao, DT Meldoz</t>
  </si>
  <si>
    <t>Philippines, growth, crop management, seed potatoes, blight, farmers, plant developmental stages, disease resistance, disease control, highlands, case studies, Solanum tuberosum, underground storage, varieties, plant diseases, floor husbandry</t>
  </si>
  <si>
    <t>The ideal strawberry jam attributes based on consumer preferences: A conjoint analysis approach</t>
  </si>
  <si>
    <t>Lubrica, M.A.B., Dagupen, M.K.T.</t>
  </si>
  <si>
    <t xml:space="preserve">quality management, consumer behaviour, customer satisfaction, food products, market research, consumer segment, ideal strawberry jam attribute, consumer preference, market segment, conjoint analysis approach, Baguio City, La Trinidad, Benguet, strawberry jam consumer, market segments, conjoint analysis, strawberry jam attributes
</t>
  </si>
  <si>
    <t>New NSIC-approved varieties of snap beans (Phaseolus vulgaris) in Benguet, Philippines</t>
  </si>
  <si>
    <t>agronomic characteristics, crop yield, cultivars, new cultivars</t>
  </si>
  <si>
    <t>Morphological diversity and indigenous knowledge on rice landraces in Benguet, Philippines: towards sustainable conservation and utilization</t>
  </si>
  <si>
    <t>BA Tad-awan, EJD Sagalia, MP Tosay</t>
  </si>
  <si>
    <t>Philippines, conservation of resources, germplasm, collections, folk lore, genetic resources, plant selection, Oryza sativa, landraces, , autochthonous organisms, plant genetics</t>
  </si>
  <si>
    <t>Exploring the natural fiber crops in the province of Benguet [Philippines]</t>
  </si>
  <si>
    <t>JP Pablo</t>
  </si>
  <si>
    <t>collection, Philippines, resource conservation, gene banks, species, collections, tremble, Agave, Ananas comosus, fibre crops, plant breeding, plant genetics</t>
  </si>
  <si>
    <t>Evaluation of potato entries for organic production in Benguet [Philippines]</t>
  </si>
  <si>
    <t>OK Simongo, BA Tad-awan, MA Kimeu, LL Tandang</t>
  </si>
  <si>
    <t>profitability, Philippines, disease resistance, organic farming, economically important features of plants, mountainous terrain, Solanum tuberosum, varieties, plant diseases, outdoor contents</t>
  </si>
  <si>
    <t>Evaluation of selected potato entries grown across location for its chipping quality</t>
  </si>
  <si>
    <t>ET Botangen, IC Gonzales, DK Simongo</t>
  </si>
  <si>
    <t>organoleptic properties, Philippines, research institutions, food composition, snack foods, highlands, potatoes, varieties, quality, browning, dry matter content</t>
  </si>
  <si>
    <t>Evaluation of vegetable, root and tuber (VRT) consumption promotion among children</t>
  </si>
  <si>
    <t>BT Gayao, DT Meldoz</t>
  </si>
  <si>
    <t>proteins, Philippines, human nutrition, diet, tubers, calcium, nutrient intake, vegetables, children, nutrition surveys, ascorbic acid, highlands, food consumption, root crops</t>
  </si>
  <si>
    <t>Multiplication rate of selected potato entries to rapid multiplication technique</t>
  </si>
  <si>
    <t>CG Kiswa, DK Simongo</t>
  </si>
  <si>
    <t>Philippines, tubers, stems, experimentation, plant propagation, Solanum tuberosum, yields, cuttings, varieties, greenhouses</t>
  </si>
  <si>
    <t>Baseline Information Analysis for An Integrated Agroforestry Systems in Benguet, Cordillera Administrative Region (CAR)</t>
  </si>
  <si>
    <t xml:space="preserve"> Valentino L. Macanes, Mario M. Marquez, Hilario C. Perez, Jimmy A. Wakat, Christopher P. Deponio, Cunegunda D. Abellera, Von Y. Amado</t>
  </si>
  <si>
    <t xml:space="preserve">Agroforestry farming systems, Agroforestry, Baseline Information, Agroforestry Ecological Zones, Agrisilviculture, Agrisilvipastoral, Silvipastoral and Sericulture </t>
  </si>
  <si>
    <t>Erosion in Chayote Fields Focusing on Characterization, Perception and Development of Erosion Field Tool in Shilan, La Trinidad, Benguet, Philippines</t>
  </si>
  <si>
    <t>A.M.C. van Miltenburg</t>
  </si>
  <si>
    <t xml:space="preserve">soil erosion, chayote fields, erosion field tool, ACED erosion model, MMF erosion model, steep slopes </t>
  </si>
  <si>
    <t>Gender Participation and Women’s Views on the Textile Industry in Baguio City and Benguet Province</t>
  </si>
  <si>
    <t>Betty T. Gayao, Dalen T. Meldoz, Erlinda B. Alupias and Jaila S. Sagpa-ey</t>
  </si>
  <si>
    <t xml:space="preserve">textile industry, gender participation, weaving, women of business, knitting, buying and selling, sericulture, and indigenous practices </t>
  </si>
  <si>
    <t>Status and Description of the Textile Industry in Baguio City and Benguet Province</t>
  </si>
  <si>
    <t>textile, textile industry, weaving, knitting, maguey and sisal fiber, processing, sericulture, and textile producers</t>
  </si>
  <si>
    <t>Assessment of Needs and Problems of the BSIT Students on Computer Programming Skills</t>
  </si>
  <si>
    <t xml:space="preserve">John B. Lacea, Bretel B. Dolipas, Chrisando P. Paza, Fitzgerald M. Paza, Frevy P. Teofilo, Norman K. Cua-at, and Rowena G. Tello </t>
  </si>
  <si>
    <t>assessment, information of technology, computer programming skills</t>
  </si>
  <si>
    <t>Comprehension of Graphic Materials among BSAS Students</t>
  </si>
  <si>
    <t xml:space="preserve">Samuel S. Poliden </t>
  </si>
  <si>
    <t>comprehension, graphic materials, applied statistics</t>
  </si>
  <si>
    <t>Indigenous Knowledge on the Production and Processing of Naguey/Sisal (Furcraea foetida L.) and the Availability of other Fiber Plants in Benguet</t>
  </si>
  <si>
    <t>Erlinda B. Alupias, Betty T. Gayao, Dalen T. Meldoz, and Jaila S. Sagpa-ey</t>
  </si>
  <si>
    <t>indigenous knowledge,and practices on fiber plant production and processing, fiber plants, endemic fiber plants</t>
  </si>
  <si>
    <t>Kinds, Uses, and Implications of Woven Ethnic Materials of the Benguet People</t>
  </si>
  <si>
    <t>woven ethnic materials/costumes/clothes, Cordillera Philippines</t>
  </si>
  <si>
    <t>Conservation, Diversity Anaysis and Evaluation of Genetic Resources from Different Agro-forestry Ecologicl Zones (AFEZ) of Benguet</t>
  </si>
  <si>
    <t>Potato Seed Production in the Philippine Highlands: The Case of NPRCRTC</t>
  </si>
  <si>
    <t>CG Kiswa, JC Perez, PA Dalang, GS Backian, LM Pacuz, TD Masangcay</t>
  </si>
  <si>
    <t>Management of root-knot nematode, Meloidogyne incognita in carrot</t>
  </si>
  <si>
    <t>Nordalyn B Pedroche, Luciana M Villanueva, D Waele De</t>
  </si>
  <si>
    <t>The ideal vegetable attributes based on consumer preferences: a conjoint analysis approach</t>
  </si>
  <si>
    <t xml:space="preserve">MKT Dagupen, DD Tagarino, BB Gumihid, Xavier Gellynck and Jacques Viaene </t>
  </si>
  <si>
    <t>market segments, conjoint analysis, vegetable attributes, consumer requirements</t>
  </si>
  <si>
    <t>Consumer Behavior Towards Lemongrass (Cymbopogon citratus) Tea in Benguet Province, Northern Philippines</t>
  </si>
  <si>
    <t>Dagupen, Marie Klondy T. ; Januszewska, Renata ; Lino, Lorna L. ; Tagarino, Darlyn ; Viaene, Jacques ; Arguelles, Roberto ; Bautista, Reynaldo</t>
  </si>
  <si>
    <t>consumer behaviour ; lemongrass ; sensory quality</t>
  </si>
  <si>
    <t xml:space="preserve">Improving Postharvest Cabbage (Brassica oleracea L. var. capitata) Quality Using Alum and Newspaper Wrap </t>
  </si>
  <si>
    <t>Emma Ruth V. Bayogan, Erlinda F. Jimenez, Joe D. Boteng, Ofelia K. Bautista and Carmelita B. Macario</t>
  </si>
  <si>
    <t>alum; bacterial soft rot; Brassica oleracea L. var. capitata; cabbage; market quality; postharvest handling</t>
  </si>
  <si>
    <t xml:space="preserve">Alkaloids as Taxonomic Marker of Four Selected Species </t>
  </si>
  <si>
    <t>PF Rosuman, LG Lirio</t>
  </si>
  <si>
    <t>Computer-Based Technologies and the Science Teachers in the Catholic Elementary Schools in Baguio City</t>
  </si>
  <si>
    <t>J. T. Gumpeng and B. B. Dolipas</t>
  </si>
  <si>
    <t>Arabica coffee-pine based agroforestry farming system: a technology developed by the Benguet State University (BSU) [Philippines]</t>
  </si>
  <si>
    <t>Macanes, V.L. Basalong, A.A.</t>
  </si>
  <si>
    <t>agroforestry, technology, technology transfer, Philippines, economic development, development policies, innovation adoption, Pinus kesiya, cropping patterns, arabica coffee, cropping systems</t>
  </si>
  <si>
    <t>Decomposition of rice hulls as influenced by different earthworm densities</t>
  </si>
  <si>
    <t>Balaoing, J.G. Liwan, L.L. Reconsal, M.A. Tanacio, A.S.</t>
  </si>
  <si>
    <t>Brassica chinensis, Philippines, gardens, composting, Azolla, Farmyard manure, highlands, fertilization, chemicophysical properties, Oligochaeta, soil, composts, rice husks</t>
  </si>
  <si>
    <t>Technology adoption of alternative planting materials and processing varieties in the Philippine highlands</t>
  </si>
  <si>
    <t>DT Meldoz, BT Gayao, DK Simongo</t>
  </si>
  <si>
    <t>technology, Philippines, seed potatoes, crop yield, agronomic characters, innovation adoption, highlands, plant propagation, Solanum tuberosum, extension activities, training, cuttings, varieties</t>
  </si>
  <si>
    <t>Germplasm evaluation of pathogen-tested potato accessions grown from apical cuttings in the Philippine highlands</t>
  </si>
  <si>
    <t>DK Simongo, IC Gonzales, FS Balog-as, CG Kiswa, JY Del-amen</t>
  </si>
  <si>
    <t>Pathogens, Philippines, blight, highlands, plant breeding, germplasm, Solanum tuberosum, yields, cuttings, varieties, plant diseases, plant genetics</t>
  </si>
  <si>
    <t>Repetitive harvesting: an efficient method for seed tuber production in potato</t>
  </si>
  <si>
    <t>CG Kiswa, PA Dalang, JC Perez, GS Backian, LM Pacuz</t>
  </si>
  <si>
    <t>crop yield, profitability, Philippines, storage, seed potatoes, plant propagation, potatoes, production, harvesting frequency</t>
  </si>
  <si>
    <t>Stress conditions and coping behaviors of teachers in Benguet State University</t>
  </si>
  <si>
    <t>Leonila R Sito, Aurora Santiago-Cuyan</t>
  </si>
  <si>
    <t>Multicultural, diversity, educational experiences, felt consequences</t>
  </si>
  <si>
    <t xml:space="preserve">Lettuce Supply Chains and Marketing Margins in Benguet, Philippines
</t>
  </si>
  <si>
    <t>Fang-asan, Maria Luz D. ; Dagupen, Marie Klondy T. ; Digal, Larry N.</t>
  </si>
  <si>
    <t>Benguet ; lettuce ; marketing margins ; supply chain</t>
  </si>
  <si>
    <t>A Tracer Study of the Bachelor of Science in Environmental Science (BSES) Graduates of BSU</t>
  </si>
  <si>
    <t>Romeo A. Gomez, Jr.</t>
  </si>
  <si>
    <t>tracer study, environmental science,  Benguet State University</t>
  </si>
  <si>
    <t>Development of Sweetpotato-Based Candy Processing Technology for Commercialization</t>
  </si>
  <si>
    <t>Esther T. Botangen and Hilda L. Quindara</t>
  </si>
  <si>
    <t>sweetpotato, development of sweetpotato, candy processing technology, commercialization, sweetpotato products</t>
  </si>
  <si>
    <t>Evaluation for Yield and Adaptation of Pathogen-Tested Potato Accessions Grown from Apical Cuttings under Low Mountain Zone Environment</t>
  </si>
  <si>
    <t>Donita K. Simongo, Ines C. Gonzales and Cynthia G. Kiswa</t>
  </si>
  <si>
    <t>apical cuttings, evaluation of pathogen-tested, potato accessions, low mountain zone</t>
  </si>
  <si>
    <t>The NBC 461 at Benguet State University</t>
  </si>
  <si>
    <t>Maria Azucena B. Lubrica</t>
  </si>
  <si>
    <t>Benguet State University, NBC 461</t>
  </si>
  <si>
    <t>Evaluation of Potato Genotypes Grown from Rooted Stem Cuttings Under Mid-Mountain Zone</t>
  </si>
  <si>
    <t xml:space="preserve">Donita K. Simongo, Inez C. gonzales and Cynthia G. Kiswa </t>
  </si>
  <si>
    <t xml:space="preserve">potato genotypes, rooted stem cutting, potato genotype evaluation, mid-mountain zone </t>
  </si>
  <si>
    <t>Insects Associated With Yacon (Smallanthus sonchifoliusPoepp &amp; Endl) Plants in La Trinidad, Benguet</t>
  </si>
  <si>
    <t>Bonie S. Ligat, Sr. and Gemma P. Sabas</t>
  </si>
  <si>
    <t xml:space="preserve">Yacon, insect pests, arthropod, predator and parasitoid </t>
  </si>
  <si>
    <t>Pilot Commercialization of Dehydrated Strawberry Products</t>
  </si>
  <si>
    <t>Jane K. Avila and Lory C. Balaoing</t>
  </si>
  <si>
    <t xml:space="preserve">Strawberry, Dehydrated products, Commercialization, La Trinidad, Benguet </t>
  </si>
  <si>
    <t>The Ideal Vegetable Attributes Based on Consumer Preferences:A Conjoint Analysis Approach</t>
  </si>
  <si>
    <t>Marie K.T. Dagupen, Maria A. B. Lubrica, D. D. Tagarino, X. Gellynck, J. Viaene, B. B. Gumihid</t>
  </si>
  <si>
    <t xml:space="preserve">Conjoint analysis, consumer preference, vegetable attributes </t>
  </si>
  <si>
    <t>Knowledge and Practices of Sagpat Women on Indigenous Healing and Reproductive Health</t>
  </si>
  <si>
    <t xml:space="preserve">Ruth S. Batani, M. D. Gapasin, B. Sa-Ao, H. Bolislis, Gregorio Taag, R. Sa-Ao, T. Sagandoy, L. Samonte And A. S. Cuyan </t>
  </si>
  <si>
    <t xml:space="preserve">Indigenous knowledge; indigenous healing practices, indigenous reproductive health practices </t>
  </si>
  <si>
    <t>Relationship Between Class Size  and Students’ Academic Performance</t>
  </si>
  <si>
    <t>Maria Azucena B. Lubrica, Marcos A. Buliyat, Rosaline D. Dongbo, And Joel V. Lubrica</t>
  </si>
  <si>
    <t xml:space="preserve">Class size and academic performance, class size, academic performance </t>
  </si>
  <si>
    <t>Potential Processing and Table Type Potato Entries for the Philippine Highlands</t>
  </si>
  <si>
    <t>IC Gonzales, DK Simongo, ET Botangen, FS Balog-as, TD Masangcay, CG Kiswa, NM Nunez, JY Del-amen, EJ D Sagalla</t>
  </si>
  <si>
    <t xml:space="preserve">Gene Banking , Characterization, and Morphological Diversity Analysis of Native Rice Landraces in Benguet </t>
  </si>
  <si>
    <t>Using Nearest Neighbor Hierachical Cluster Analysis to Detect Crime Hospots in Baguio City</t>
  </si>
  <si>
    <t>O Pacula and S Beligan</t>
  </si>
  <si>
    <t>Soil moisture levels effect on the performance of potato (Solanum tuberosum L.) cultivars</t>
  </si>
  <si>
    <t>DC Jose, BA Tad-Awan</t>
  </si>
  <si>
    <t>Science Process Skills Proficiency of The Grade VI Pupils in The Elementary Diocesan Schools of Baguio and Benguet</t>
  </si>
  <si>
    <t>LL Chaguna, DM Yango</t>
  </si>
  <si>
    <t>Demonstration strategy and achievement of physics students based on higher order thinking skills</t>
  </si>
  <si>
    <t>Ryan C Saingan, Joel V Lubrica</t>
  </si>
  <si>
    <t>Status and agribusiness potentials of organic agriculture in the Philippines</t>
  </si>
  <si>
    <t>Colting, R.D. Tagarino, D.D.</t>
  </si>
  <si>
    <t>technology, sustainability, agroindustrial sector, Philippines, organic foods, organic agriculture, markets, indigenous organisms, health foods, agroindustry, Nongovernmental organizations</t>
  </si>
  <si>
    <t>Alkaloids as Taxonomic Marker of Four Selected Species  of Eupatorium Weeds</t>
  </si>
  <si>
    <t>Praxedes F. Rosuman , Lorenza G. Lirio</t>
  </si>
  <si>
    <t>Potato varieties for organic production in different agroecological zones of the Philippine highlands: evaluation and selection through participatory approach</t>
  </si>
  <si>
    <t>BA Tad-awan, DK Simongo, JP Pablo, EJD Sagalla, CG Kiswa, CC Shagol</t>
  </si>
  <si>
    <t>selection, Philippines, farmers, participation, evaluation
organic agriculture, highlands, plant breeding, Solanum tuberosum, varieties, plant genetics</t>
  </si>
  <si>
    <t>Growth, yield and dry matter accumulation of organically grown potatoes</t>
  </si>
  <si>
    <t>DK Simongo, BA Tad-awan</t>
  </si>
  <si>
    <t>crop yield, Philippines, growth, evaluation, organic agriculture, plant breeding, Solanum tuberosum, potatoes, genotypes, plant genetics, dry matter content</t>
  </si>
  <si>
    <t>Benguet State University (Benguet, Philippines) organic agriculture program</t>
  </si>
  <si>
    <t>Balaoing, J.G.</t>
  </si>
  <si>
    <t>technology, Philippines, organic agriculture, vegetable crops, innovation adoption, extension activities, diffusion of information</t>
  </si>
  <si>
    <t>Industrialization of New Varieties of Roses Under Condition in the Cordillera, Philippines</t>
  </si>
  <si>
    <t>Ladilad, Araceli G., YB Park, JK Kim, JC Hwang</t>
  </si>
  <si>
    <t>agricultural research, environment, industry, commercialization, cut flowers, globalization, marketing</t>
  </si>
  <si>
    <t>Impact of improved vegetable farming technology on farmers' livelihoods in the Philippines</t>
  </si>
  <si>
    <t>Dagupen, M. K. T. ;  Pasalo, N. A.</t>
  </si>
  <si>
    <t xml:space="preserve"> impact, hybrid varieties, seed technology, adoption, income, tropical Asia</t>
  </si>
  <si>
    <t>Effect of Rate and Timing of Reseeding on Productivity and Nutritive Value of Forages in Forest Fire Burnt Pasture</t>
  </si>
  <si>
    <t xml:space="preserve"> LL Tandang, Joung Kyong Lee, Sei-Hyung Yoon, Young-Cheol Lim, Hee-Chung Ji, Ki-Young Kim, Gi-Jun Choi, Won-Ho Kim, Jong-Geun Kim, Hyung-Soo Park, Sung Seo</t>
  </si>
  <si>
    <t>Forest fire burnt pasture; Reseeding; Forages; Productivity; Nutritive value</t>
  </si>
  <si>
    <t>Indigenous Healing Knowledge and Practices of Sagpat Women</t>
  </si>
  <si>
    <t>R Sidchogan-Batani, T Sagandoy, B Sa-ao, M Gapasin, G Taag, H Bolislis, R Sa-ao, L Samonte, A. Cuyan</t>
  </si>
  <si>
    <t>Agri-Ecological Appraisal of Traditional Rice-Based Ecosystem:  The Kapangan Experience</t>
  </si>
  <si>
    <t>Junalynne B. Ingosan, Jane Rachelle S. Labaro, Judith Ann L. Sally, and Romeo A. Gomez, Jr.</t>
  </si>
  <si>
    <t>agri-ecology, ecosystem, indigenous practice, rice</t>
  </si>
  <si>
    <t>Points of Pollution of the Chico River In Bontoc, Mountain Province as Perceived by the Residents of Barangays Bontoc Ili, Poblacion Bontoc, Caluttit, and Samoki</t>
  </si>
  <si>
    <t xml:space="preserve">Aloha Freia F. Diaz1 and Vicente T. Wacangan </t>
  </si>
  <si>
    <t xml:space="preserve">Bontoc, Mt. Province, Chico River, River pollution </t>
  </si>
  <si>
    <t xml:space="preserve">Fern Diversity of the Mossy Forest Remnants of the BSU-Agroforestry Project, Bektey, Wangal, La Trinidad, Benguet </t>
  </si>
  <si>
    <t xml:space="preserve">Roxanne A. Mulang and John G. Tacloy </t>
  </si>
  <si>
    <t xml:space="preserve">Ferns, Mossy Forest Remnants </t>
  </si>
  <si>
    <t>The Israeli Dairy Farming: A Documentation</t>
  </si>
  <si>
    <t xml:space="preserve">Bart A. Wallang and Myrna B. Walsiyen </t>
  </si>
  <si>
    <t xml:space="preserve">Dairy Farming, Israel </t>
  </si>
  <si>
    <t>Manipulating Nitrogen Release from Organic Fertilizers as Affected by Organic Biological Waste in Soil</t>
  </si>
  <si>
    <t xml:space="preserve">May Ann C. Tuba-ang and Carlito P. Laurean </t>
  </si>
  <si>
    <t xml:space="preserve">Nutrient release, organic fertilizer, organic biological waste </t>
  </si>
  <si>
    <t>Documentation of the Indigenous Edible Mushroom Varieties in Sabangan, Mountain Province</t>
  </si>
  <si>
    <t xml:space="preserve">Emely W. Tingcawa and Cunegunda D. Abellera </t>
  </si>
  <si>
    <t xml:space="preserve">indigenous mushroom, edible mushroom </t>
  </si>
  <si>
    <t>Balanced Fertilization Strategy for Semi-Temperate Vegetables in the Highlands, Philippines</t>
  </si>
  <si>
    <t>M.M. Marquez, J. G. Balaoing, A. W. Fagyan, E. K. Mamaril, and C. P. Laurean</t>
  </si>
  <si>
    <t>Tracer Study on BS Applied Statistics Graduates (1987-2006)</t>
  </si>
  <si>
    <t>M.A.B. Lubrica, Judith Asprer, Ederson G. Bawang, Salvacion Z. Beligan, Josephine Caridad S. Borje, Brenda O. Bua-ay, Marcos A. Buliyat, Edna A. Chua, Rosaline D. Dongbo, Bretel B. Dolipas, Manuel L. Domoguen, Fitzgerald Lacamento, Joel V. Lubrica, Lilian Maranes, Reynante S. Marrero, Phil S. Ocampo, Cristina B. Ocden, Serano L. Oryan, Chrisando P. Paza, Jennifer Lyn S. Ramos, Frevy P. Teofilo, Maria Teresa P. Teofilo, Marilyn B. Toledo, Marycel H. Toyhacao</t>
  </si>
  <si>
    <t>Tracer Study on the Bachelor of Secondary Education Graduates of the Benguet State University, College of Teacher Education</t>
  </si>
  <si>
    <t>L.R. Sito, Dolores E. Alawas, Manolita N. Alvaro, Fe Virginia T. Azupardo, Angel C. Cawat, Wilfredo B. Mina, Imelda G. Parcasio</t>
  </si>
  <si>
    <t>Self Description And Academic Performance Relation</t>
  </si>
  <si>
    <t>Josephine Caridad S. Borje, Bretel B. Dolipas, Jennifer Lyn S. Ramos</t>
  </si>
  <si>
    <t>Teacher Qualities that Enhance Students’ Academic Performance</t>
  </si>
  <si>
    <t>J.V. Lubrica, J Asprer, Ederson G. Bawang, Salvacion Z. Beligan, Josephine S. Borje, Brenda O. Bua-ay, Marcos A. Buliyat, Edna A. Chua, Rosaline D. Dongbo, Bretel B. Dolipas, Manuel L. Domoguen, Fitzgerald Lacamento, Maria Azucena B. Lubrica, Lilian Maranes, Reynante S. Marrero, Phil S. Ocampo, Cristina B. Ocden, Serano L. Oryan, Chrisando P. Paza, Jennifer Lyn S. Ramos, Frevy P. Teofilo, Maria Teresa P. Teofilo, Marilyn B. Toledo, Marycel H. Toyhacao</t>
  </si>
  <si>
    <t>Class Size: It’s Influence to Faculty Evaluation by Students</t>
  </si>
  <si>
    <t>B.B. Dolipas, Phil S. Ocampo, Chrisando P. Paza, Jennifer Lyn S. Ramos, Maria Teresa P. Teofilo</t>
  </si>
  <si>
    <t>Pampagtuturong Tungkulin Sa Interaksyong Pangklase Ng Mga Guro Ng Wika</t>
  </si>
  <si>
    <t>Maribel Z. Palazo, Elvira G. Dines, Dominga S. Tomas, Myrna B. Sison, Ronda C. Bataclao</t>
  </si>
  <si>
    <t>Technology Commercialization and Enterprose Development: The Case of the Potato Seed Production</t>
  </si>
  <si>
    <t>JC Perez, TK Mangili, PA Dalang, JB Duldulao Jr., L Mocati, Ruben Dulagan, Myer Mula</t>
  </si>
  <si>
    <t>Radical scavenging activity and content of cynarin (1, 3-dicaffeoylquinic acid) in Artichoke (Cynara scolymus L.)</t>
  </si>
  <si>
    <t xml:space="preserve"> Leoncia Tandang, Neung-Jae Jun, Ki-Chang Jang, Seong-Cheol Kim, Doo-Young Moon, Ki-Cheol Seong, Kyung-Hee Kang, Phil-Hoon Kim, So-Mi K Cho, Ki-Hun Park</t>
  </si>
  <si>
    <t>antioxidant activity; artichoke; Cynara scolymus L.; cynarin; total flavonoid; total phenol</t>
  </si>
  <si>
    <t>Identification of species and sex of Korean Roe Deer (Capreolus pygargus tianschanicus) using SRY and CYTB genes</t>
  </si>
  <si>
    <t>Leoncia Tandang, Sang‐Hyun Han, In‐Cheol Cho, Sung‐Soo Lee, Hang Lee, Hong‐Shik Oh, Byoung Soo Kim, Moon‐You Oh</t>
  </si>
  <si>
    <t>species identification, sex determination, roe deer,  SRY,  CYTB</t>
  </si>
  <si>
    <t>A Comprehensive Assessment of Pesticide Residues in Two Vegetable-Farming Municipalities in Benguet</t>
  </si>
  <si>
    <t>Gaudelia A. Reyes &amp; Carlito P. Laurean</t>
  </si>
  <si>
    <t>institutional collaboration, pesticide residues, interviews, laboratory analysis, diagnostic approach, research-outreach</t>
  </si>
  <si>
    <t xml:space="preserve">Innovation Potential inSmall and Medium Enterprises in the Cordillera Administrative Region
</t>
  </si>
  <si>
    <t xml:space="preserve">Marie Klondy Dagupen, Renata Januszewska, Roberto Arguelles, Reynaldo Bautista, Darlyn Tagarino, &amp; Jacques Viaene
</t>
  </si>
  <si>
    <t xml:space="preserve"> innovation potential, SMEs, Cordillera Administrative
Region, consumer segmentation</t>
  </si>
  <si>
    <t>Natural Products, Organic Chemistry: Article; Radical Scavenging Activity and Content of Cynarin (1, 3-dicaffeoylquinic acid) in Artichoke (Cynara scolymus L.)</t>
  </si>
  <si>
    <t>Leoncia Tandang, Neung Jae Jun, Ki Chang Jang, Seong Cheol Kim, Doo Young Moon, Ki Cheol Seong, Kyung Hee Kang,  Phil Hoon Kim, Somi K Cho, Ki Hun Park</t>
  </si>
  <si>
    <t>Response of five lettuce cultivars to root-knot nematode, Meloidogyne incognita</t>
  </si>
  <si>
    <t>NB Pedroche, LM Villanueva, W Dirk De</t>
  </si>
  <si>
    <t>Meloidogyne incognita, lettuce cultivars, inoculation, resistant</t>
  </si>
  <si>
    <t xml:space="preserve">Innovation Potential in Small and Medium Enterprises in the Cordillera Administrative Region
</t>
  </si>
  <si>
    <t>Red stele disease of strawberry in the Philippines</t>
  </si>
  <si>
    <t>RM Oloan, LM Villanueva</t>
  </si>
  <si>
    <t>Technology adoption on rooted cuttings, GO seeds, TPS, and processing varieties in the highlands of northern philippines</t>
  </si>
  <si>
    <t>DT Meldoz, BT Gayao</t>
  </si>
  <si>
    <t>technology, technology transfer, Philippines, economic development, seed potatoes, crop yield, highlands, plant breeding, development policies, roots, cuttings, varieties, plant genetics</t>
  </si>
  <si>
    <t>Farmers' potato seed production management practices in utilizing rooted stem cuttings and tuberlets</t>
  </si>
  <si>
    <t>GS Backian, BT Gayao</t>
  </si>
  <si>
    <t>stems, seed potatoes, cuttings, varieties, production, propagation materials, floor husbandry</t>
  </si>
  <si>
    <t>Assessment of microorganisms in transitional organic and conventional vegetable farms in Benguet [Philippines]</t>
  </si>
  <si>
    <t>HC Alibuyog, BS Tad-awan, BA Tad-awan</t>
  </si>
  <si>
    <t>Philippines, Pseudomonas, identification, Gliocladium, traditional farming, farms, species, Trichoderma, soil biology, vegetables, organic agriculture, Bacillus, Streptomyces, Aspergillus niger, animal population
Fusarium</t>
  </si>
  <si>
    <t>Participatory evaluation and selection of potato varieties for organic production in the Philippine highlands</t>
  </si>
  <si>
    <t>technology, Philippines, on-farm research, economic development, farmers, participation, evaluation, organic agriculture, highlands, plant breeding, development policies, Solanum tuberosum, varieties, plant genetics</t>
  </si>
  <si>
    <t>Potential sweet potato varieties for herbage and storage root yield</t>
  </si>
  <si>
    <t>BA Tad-awan</t>
  </si>
  <si>
    <t>selection, Philippines, Ipomoea batatas, agronomic characters, plant breeding, yields, roots, varieties, plant genetics</t>
  </si>
  <si>
    <t>Sweetpotato 'Bengueta' suitable for table and processing variety for the Philippine highlands</t>
  </si>
  <si>
    <t>IC Gonzales, CG Kiswa, ET Botangen, DK Simongo, TD Masangcay, AT Botangen, FS Balog-as</t>
  </si>
  <si>
    <t>food preservation, organoleptic properties, processed, plant products, Philippines, food technology, potatoes, organoleptic analysis, Ipomoea batatas, disease resistance, evaluation, food processing, sweet potatoes, plant breeding, highlands, varieties, pest resistance, plant genetics</t>
  </si>
  <si>
    <t>Evaluation of processing and table potatoes for the Philippine highlands</t>
  </si>
  <si>
    <t>IC Gonzales, ET Botangen, CG Kiswa, DK Simongo, TD Masangcay, FS Balog-as</t>
  </si>
  <si>
    <t>organoleptic properties, processed plant products, Philippines, food technology, potatoes, crop yield, blight, organoleptic analysis, disease resistance, evaluation, experimentation, , plant breeding, highlands, clones, Solanum tuberosum, high yielding varieties, plant genetics</t>
  </si>
  <si>
    <t>Chipping quality of potato accessions grown organically in different elevation of the Philippine highlands</t>
  </si>
  <si>
    <t>EJD Sagalla, BA Tad-awan, CC Shagol</t>
  </si>
  <si>
    <t>food preservation, processed plant products, organoleptic properties, Philippines, organoleptic analysis, food processing, processing, highlands, potatoes, quality, altitude</t>
  </si>
  <si>
    <t>BSU (Benguet State Univ. Philippines) Nature Park: conserving insect biodiversity through eco-tourism</t>
  </si>
  <si>
    <t>Molitas-Colting, L. Corcha, J.S.</t>
  </si>
  <si>
    <t>Philippines, tourism, Insecta, biodiversity, nature conservation, pests of plants, water management, nature reserves, water resources</t>
  </si>
  <si>
    <t>Highland sweet potato 'bengueta' for processing</t>
  </si>
  <si>
    <t>IC Gonzales, ET Botangen, DK Simongo, TD Masangcay, AT Botangen, CG Kiswa, FS Balog-As</t>
  </si>
  <si>
    <t>food preservation, Philippines, wines, Ipomoea batatas, disease resistance, food processing, agronomic characters, highlands, candying, training, varieties, vegetable juices, dry season, pest resistance, quality, wet season</t>
  </si>
  <si>
    <t>Sweetpotato and other rootcrop enterprise development</t>
  </si>
  <si>
    <t>Sim, J.M.</t>
  </si>
  <si>
    <t>food preservation, Philippines, cassava, food technology, taro, noncereal flours, potatoes, food processing, sweet potatoes, carrots, small enterprises, bakery products, agroindustry, varieties</t>
  </si>
  <si>
    <t>Useful functional properties of yam (Dioscorea spp.) flours in the food industry in relation to species, genotypes, origin, and growing conditions</t>
  </si>
  <si>
    <t>Salda, V.B.</t>
  </si>
  <si>
    <t>food preservation, starch, Dioscorea pentaphylla, Philippines, Dioscorea hispida, food industry, Dioscorea esculenta, noncereal flours, food composition, species, food processing, viscosity, protein content, highlands, Dioscorea alata, ash content, genotypes, Dioscorea rotundata, yams</t>
  </si>
  <si>
    <t>On-farm Trials of Biological Nitrogen Fixation (BNF) Technology on Beans (Phaseolus Vulgaris) in Mountain Province</t>
  </si>
  <si>
    <t>David Y. Fomeg-As, Tessie M. Merestela, Jose G. Balaoing, Maria Luz D. Fang-asan</t>
  </si>
  <si>
    <t>BNF technology, lime, inoculum, inoculant, rhizobium, biological, nitrogen fixation, dinitrogen fixation, soil test kit, farmer’s practice, nodulation</t>
  </si>
  <si>
    <t>Collection of Wild Forage Plants in Pasture Areas of Jeju, Korea</t>
  </si>
  <si>
    <t>Leoncia Lapitan Tandang, Hyung-Soo Park, Kyung-Jun Hwang, Moon-Chul Kim, Moon-Suck Ko</t>
  </si>
  <si>
    <t>collection, wild plants, forage grasses and legumes, grazing and non-grazing pastures</t>
  </si>
  <si>
    <t>Feed Value of Collected Wild Forage Plants in Pasture Areas of Jeju, Korea</t>
  </si>
  <si>
    <t>Leoncia Tandang, Hyung-Soo Park, Kyung-Jun Hwang, Moon-Chul Kim, Moon-Suck Ko</t>
  </si>
  <si>
    <t>Effect of Ph of Holding Solution on the Vaselife And Cutflower Quality of Peruvian Lily (Alstromeria Sp. L)</t>
  </si>
  <si>
    <t>M. B. Lardizabal and A. G. Ladilad</t>
  </si>
  <si>
    <t>Mass Media Habits of Benguet State University Students, First Semester 2006-2007</t>
  </si>
  <si>
    <t>H. C. Bugtong And M. L. D. Fang-Asan</t>
  </si>
  <si>
    <t>Teachers’ Written Examination Assessed by Students (Tweast)</t>
  </si>
  <si>
    <t>L. R. Sito, J. L. S. Montemayor, M. N. Alvaro, D. M. Yango, And C. P. Luma-Ang</t>
  </si>
  <si>
    <t>Characteristics and Impacts of Ecotourism in the Municipalities of Basco and Mahatao, Batanes</t>
  </si>
  <si>
    <t>K. L. F. Viola and R. A. Gomez, Jr.</t>
  </si>
  <si>
    <t>Growth and Flowering of Petunia (Petunia hybrida) as Affected by Different Kinds of Slow Release Fertilizers</t>
  </si>
  <si>
    <t>H. D. Ganado and A. G. Ladilad</t>
  </si>
  <si>
    <t xml:space="preserve">Correlation of Agronomic Characters in Potato Accessions Grown Organically </t>
  </si>
  <si>
    <t xml:space="preserve">B. A. Tad-awan M. B. Balas </t>
  </si>
  <si>
    <t>Potato Germplasm for Organic Production: Agronomic Characters in the Mid-mountain Zone of Benguet</t>
  </si>
  <si>
    <t>B.A. Tad-awan, D.k. Simongo, EJ.D. Sagalla, C.C. Shagol, J.P. Pablo and C.G. Kiswa</t>
  </si>
  <si>
    <t>Balanced Fertilization Strategy of Cabbage in the highlands Northern Philippines</t>
  </si>
  <si>
    <t>E.K. Mamaril, M.M. Marquez, H.M. Imong, F.J. Picpican, G.B. Soyon</t>
  </si>
  <si>
    <t>Reproduction of Root Knot Nematode (Meloidogyne incognita) on Potential Tomato (Lycopersicon esculentum) Cultivars and Breeding Lines</t>
  </si>
  <si>
    <t>S.B. Compala, L.M. Villanueva</t>
  </si>
  <si>
    <t>Life history of Common Cutworm Spodoptera litura Fabricius (Noctuidae: Lepidoptera) in Benguet</t>
  </si>
  <si>
    <t>E.V. Cardona, Jr., C.S. Ligat, M.P. Subang</t>
  </si>
  <si>
    <t>Participatory Evaluation of Clubroot Disease management Strategies on Crucifers: (1) Assessment for Level Change Consequent to Participation</t>
  </si>
  <si>
    <t>B.S. Tad-awan, D.A. Basquial</t>
  </si>
  <si>
    <t>Nutritional Value of Selected indigenous Vegetables of Cordillera</t>
  </si>
  <si>
    <t>LG. Lirio, L.P. Pladio, J.N. Paing, L.O. Ayyokad</t>
  </si>
  <si>
    <t>Response of Celery Cultivars to the Root Knot Nematode Meloidogyne incognita</t>
  </si>
  <si>
    <t>N.B. Pedroche, L.M. Villanueva, D. De Waele</t>
  </si>
  <si>
    <t>Morphological Diversity And Cluster Analysis In Sweetpotato Varieties In The Northern Philippine Highland</t>
  </si>
  <si>
    <t>Tandang, L. T.  and J. I. Alfonso</t>
  </si>
  <si>
    <t>Acceleration of Flowering In Gloriosa Lily (Gloriousa Rothschildiana) With Gibberellic Acid</t>
  </si>
  <si>
    <t>M. C. C. Domingo and A. G. Ladilad</t>
  </si>
  <si>
    <t>Growth and Root Development of Batac Mulberry (Morus alba Linn.) Cuttings for Sapling Production on Different  Potting Mixtures</t>
  </si>
  <si>
    <t>V. L. Macanes  and B. G. Yogayog</t>
  </si>
  <si>
    <t>Organic Fertilization on the Seed Quality of Pole Snap Bean, Phaseolus vulgaris (Var. Maccarao)</t>
  </si>
  <si>
    <t>Simsim, P. A. F.  and Balaoing, J. G.</t>
  </si>
  <si>
    <t>Consumers Perception on Meat and Vegetable –Based Burger</t>
  </si>
  <si>
    <t>H. S. Paredes  and J. M. Sim</t>
  </si>
  <si>
    <t>Effectiveness of the Administration and Supervision of the BSU-CTE Student Teaching Program</t>
  </si>
  <si>
    <t>Laruan, M. J. L.</t>
  </si>
  <si>
    <t xml:space="preserve">Low Temperature Tolerance In Potato (Solanum tuberosum L.) </t>
  </si>
  <si>
    <t>Belinda  A. Tad-awan and Marcial D. Bolislis</t>
  </si>
  <si>
    <t>Potential of Different Agricultural Wastes as Substrates for Oyster Mushroom Production</t>
  </si>
  <si>
    <t>Denissa L. Domondon</t>
  </si>
  <si>
    <t>Lime Requirement of Four  Soil Series In Buguias, Benguet Grown With Cabbage</t>
  </si>
  <si>
    <t>L. O. Cabaling Jr.  and A. W. Fagyan</t>
  </si>
  <si>
    <t>Life History of Ladybug Beetle, Hippodamia Convergens Linn. (Coleoptera: Coccinellidae) in Benguet</t>
  </si>
  <si>
    <t>Eulogio V. Cardona Jr. and Felicitas C. Guerrero</t>
  </si>
  <si>
    <t>Product Development of Mushroom-Based Products</t>
  </si>
  <si>
    <t>Midourie Saikie L Dulawen and Jovita M. Sim</t>
  </si>
  <si>
    <t>Traditional Feeding Practices of Pigs In Besao, Mountain Province</t>
  </si>
  <si>
    <t>Mylyn Tayawa Cogasi and Myrna B. Walsiyen</t>
  </si>
  <si>
    <t>The impact of globalization and liberalization on agriculture and small farmers in developing countries: The case of the Philippines</t>
  </si>
  <si>
    <t>Victoria Tauli-Corpuz, Ruth Sidchogan-Batani, Jim Maza</t>
  </si>
  <si>
    <t>Pesticide residues in soil, water and vegetables from selected barangays in a Benguet municipality: assessing potential concern for human health</t>
  </si>
  <si>
    <t>GA Reyes, CP Laurean</t>
  </si>
  <si>
    <t>Consumer Segments for Fresh Strawberries in the Philippines</t>
  </si>
  <si>
    <t>Renata Januszewska , Darlyn D. Tagarino , Marie Klondy T. Dagupen , Jacques Viaene  &amp; Danny Padua</t>
  </si>
  <si>
    <t>Consumer segmentation, strawberries, Philippines, sensory preference</t>
  </si>
  <si>
    <t>The role of indigenous food sources in nutrition and changing socio-economic conditions in an ethno-community in northern Philippines</t>
  </si>
  <si>
    <t>JA Solimen, BT Gayao</t>
  </si>
  <si>
    <t>indigenous, northern, philippines, ethno, community</t>
  </si>
  <si>
    <t>Positioning to meet global competition: the higher education challenge</t>
  </si>
  <si>
    <t>D Damasco-Tagarino</t>
  </si>
  <si>
    <t>Indigenous semi-temperature vegetables in Cordillera, Philippines</t>
  </si>
  <si>
    <t>L.G. Lirio, L.O. Ayyokad, J.N. Paing</t>
  </si>
  <si>
    <t>Ethnobotany, sustainable, conservation, propagation, biodiversity</t>
  </si>
  <si>
    <t>Towards a Sustainable Semi-Temperate Vegetable Production</t>
  </si>
  <si>
    <t>Lorenza G. Lirio ,  Lito O. Ayyokad ,  Joyce N. Paing</t>
  </si>
  <si>
    <t>Plant parasitic nematodes associated with semi-temperate vegetables in Benguet, Philippines</t>
  </si>
  <si>
    <t>NB Pedroche, Dirk De Waele, LM Villanueva</t>
  </si>
  <si>
    <t>Response of two carrot (Daucus carota L.) cultivars to varying levels of root-knot nematode (Meloidogyne hapla) inoculum (Abstract)</t>
  </si>
  <si>
    <t>MM Abuan, LM Villanueva, TD Masangcay</t>
  </si>
  <si>
    <t xml:space="preserve">Indigenous Women, Culture and Violence Against Women published in Negotiating Culture: Intersections of Culture and Violence Against Women in Asia Pacific </t>
  </si>
  <si>
    <t>Identification of Colletotrichum Spp. Causing Anthracnose on Strawbrry (Fragaria X Ananassa Duch.) in Benguet</t>
  </si>
  <si>
    <t>M. S. Esiong and A. L. Nagpala</t>
  </si>
  <si>
    <t xml:space="preserve">Pathogenicity of Pestalotia Sp. on Arabica Coffee (Coffea arabica L.) </t>
  </si>
  <si>
    <t>R. S. Binay-an, A. A. Basalong, and L. A. D. Lando</t>
  </si>
  <si>
    <t>Germplasm Evaluation for Tolerance for Tolerance Against Bacterial Wilt (Ralstonia solanacearum (E.F. Smith) Yabuuchi Et Al.)</t>
  </si>
  <si>
    <t>J. B. B. Basngi And J. C. Perez</t>
  </si>
  <si>
    <t>Assessment on the Occurrence and Severity of Diseases Infecting Arabica Coffee (Coffea arabica L.) In  Benguet Province</t>
  </si>
  <si>
    <t>V. L. Macanes and J. S. Luis</t>
  </si>
  <si>
    <t xml:space="preserve">Pathotype Identification of Plasmodiophora  brassicae Wor. in Benguet   </t>
  </si>
  <si>
    <t>B. S. Tad-awan, M. T. P. Baclili, and C. D. Bidang</t>
  </si>
  <si>
    <t xml:space="preserve">Effect of Different Levels of Trichoderma Compost as Plant Growth Promoterin Garden Pea (Pisum sativum L.) </t>
  </si>
  <si>
    <t>J. L. Galian and A. L. Nagpala</t>
  </si>
  <si>
    <t xml:space="preserve">Utilization of Sweetpotato Root Meal (SPRM)  as Ingredients In Hog Grower and Finisher Rations </t>
  </si>
  <si>
    <t>E. T. Pagaduan and S. B. Maddul</t>
  </si>
  <si>
    <t>Chayote Lead Meal as Commercial Feed Substitute for Broiler Chicken</t>
  </si>
  <si>
    <t>J. T. Aspilan and M. B. Walsiyen</t>
  </si>
  <si>
    <t xml:space="preserve">Effect of Different Levels of Peanut Butter Processing By- Production on Nutrient Digestibility </t>
  </si>
  <si>
    <t>P. Q. Salipio and M. B. Atinyao</t>
  </si>
  <si>
    <t xml:space="preserve">Performance of Philippine-Malay Broilers Given Different Levels of Zeolite </t>
  </si>
  <si>
    <t>F. Bongyao, Jr. and Ben B. Luis</t>
  </si>
  <si>
    <t>Efficacy Of Iodized Salt In Making Salted  Pork Using Different Preservation Techniques</t>
  </si>
  <si>
    <t xml:space="preserve">Fiereo-chan and S. S. Arcellana </t>
  </si>
  <si>
    <t>The Effect of Lighting Program on the Performance of Broilers</t>
  </si>
  <si>
    <t>C. M. Basalong, S. S. Arcellana, M. S. Kingan</t>
  </si>
  <si>
    <t>Acceptability of Chevon in Various Processed Meat Products</t>
  </si>
  <si>
    <t>J. P. De Jesus, S. S. Arcellana, M. S. Kingan</t>
  </si>
  <si>
    <t>Effects of Various Fodder Leaves on Performance of Rabbits</t>
  </si>
  <si>
    <t>J. L Tampulay and S. B. Maddul</t>
  </si>
  <si>
    <t>Management Practices of Commercial Gamefowl Raisers in the Cordillera</t>
  </si>
  <si>
    <t>K. A. Base and Jones K.Feliciano</t>
  </si>
  <si>
    <t>Mass Multiplication and Delivery of Fungal Hyperparasites of Chrysanthemum White Rust</t>
  </si>
  <si>
    <t>L. M. Villanueva, L.l. Tandang, A. L., Nagpala,  A. F. Piñon, and T. D. Masangcay</t>
  </si>
  <si>
    <t>Survey, Collection and Identification of Ganoderma Species in Sablan, Benguet and Manaog, Pangasinan</t>
  </si>
  <si>
    <t>B. S. Tad-awan, J. A. Aspiras,  J. V. Cuaresma</t>
  </si>
  <si>
    <t>Yield Trials of Twelve Sweetpotato Entries</t>
  </si>
  <si>
    <t>I. C. Gonzales, E. T. Botangen, T. D. Masangcay, D. K. Simongo, F. S. Balog-as, and C. G. Kiswa</t>
  </si>
  <si>
    <t>Use of Parasitoids to Manage Leafminer Associated with Semi-Temperate Crops in the Cordillera</t>
  </si>
  <si>
    <t>B.S. Ligat, L.M. Colting, J.C. Perez, and C. Ligat</t>
  </si>
  <si>
    <t>Multi-Locational Yield Trial of Potential Potato Clones Across Location</t>
  </si>
  <si>
    <t>Gonzales, I. C., Botangen, E. T., Balog-as, F. S., Kiswa, C. G.Simongo, D. K., and  Masangcay, T.D.</t>
  </si>
  <si>
    <t>Survey and Identification of Soilborne Plant Pathogens and Alternative Host Weeds In Benguet</t>
  </si>
  <si>
    <t>A.L. Nagpala, L. A. D. Lando, J. C.  Perez, A.Basalong, J. S. Luis, R. K. Tudayan, C. D. Ba-a, and J. P. Galeng</t>
  </si>
  <si>
    <t>Minor Rootcrops: An Industry Situationer</t>
  </si>
  <si>
    <t>D.T. Meldoz, B.T. Gayao, and C.B. Pulinney</t>
  </si>
  <si>
    <t>The Cassava Industry Profile</t>
  </si>
  <si>
    <t>E.T. Botangen, G.S. Backian and B.T. Gayao</t>
  </si>
  <si>
    <t>Growth and Yield of Potato Genotypes in an Organic FaraAt Puguis, La Trinidad, Benguet</t>
  </si>
  <si>
    <t>Montes, F. R. and B. A. Tad-awan</t>
  </si>
  <si>
    <t>Potentials of Montañosa Ilocano as A Language for Print News for the Ethno-Linguistic Groups of La Trinidad</t>
  </si>
  <si>
    <t>Sabado, J. L. and F. Y. Awas</t>
  </si>
  <si>
    <t>Life Cycle and Predation of Phytoseiulus sp. on Tetranychus urticae Koch</t>
  </si>
  <si>
    <t>Damaso, R. B. and B. S. Ligat, Sr.</t>
  </si>
  <si>
    <t>Rooting of Yacon (Smallanthus sonchifolius) Cuttings as Affected by Different ANAA Concentrations</t>
  </si>
  <si>
    <t>J.B. Tingbaoen and F.R. Gonzales</t>
  </si>
  <si>
    <t>Effects of Mineral and Vitamin Sources on the Mycelial Production of Ganoderma lucidum</t>
  </si>
  <si>
    <t>Aspiras, J. A. and B. S. Tad-awan</t>
  </si>
  <si>
    <t>Organic Fertilization on the Post Harvest Quality of Processing Potato (Solanum tuberosum C.V. Igorota)</t>
  </si>
  <si>
    <t>Lazo, D. B. and J. G. Balaoing</t>
  </si>
  <si>
    <t>Utilization of Peanut (Arachis 6ypogeal, Linn.) Skin as Feed for Broilers</t>
  </si>
  <si>
    <t>Dontogan, J. K. and M. B. Atinyao</t>
  </si>
  <si>
    <t>Cost and Return Analysis of Strawberry Production in La Trinidad, Benguet</t>
  </si>
  <si>
    <t>Sayap, E. C. Jr. and E. B. Cungihan</t>
  </si>
  <si>
    <t>Indigenous Agronomic Crops: Opportunity for Sustainable Conservation in Benguet</t>
  </si>
  <si>
    <t>B Tad-awan and EJ Sagalla</t>
  </si>
  <si>
    <t>Towards a Sustainable Semi-Temperate Vegetable Production: Characterization and Propagation of Indigenous Vegetables (IV's) in Highland Cordillera</t>
  </si>
  <si>
    <t>L.G. Lirio, MA Balcita, LP Pladio, L.O. Ayyokad, J.N. Paing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</si>
</sst>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rgb="FFFFFFFF"/>
      <name val="Cambria"/>
      <charset val="1"/>
    </font>
    <font>
      <b/>
      <sz val="11"/>
      <name val="Cambria"/>
      <charset val="1"/>
    </font>
    <font>
      <b/>
      <sz val="14"/>
      <color rgb="FFFFFFFF"/>
      <name val="Cambria"/>
      <charset val="1"/>
    </font>
    <font>
      <b/>
      <sz val="10"/>
      <name val="Cambria"/>
      <charset val="1"/>
    </font>
    <font>
      <b/>
      <sz val="20"/>
      <color rgb="FF1F4E78"/>
      <name val="Cambria"/>
      <charset val="1"/>
    </font>
    <font>
      <b/>
      <sz val="11"/>
      <color rgb="FFFFFFFF"/>
      <name val="Cambria"/>
      <charset val="1"/>
    </font>
    <font>
      <b/>
      <sz val="12"/>
      <name val="Cambria"/>
      <charset val="1"/>
    </font>
  </fonts>
  <fills count="6">
    <fill>
      <patternFill patternType="none"/>
    </fill>
    <fill>
      <patternFill patternType="gray125"/>
    </fill>
    <fill>
      <patternFill patternType="solid">
        <fgColor rgb="FF1F4E78"/>
        <bgColor rgb="FF44546A"/>
      </patternFill>
    </fill>
    <fill>
      <patternFill patternType="solid">
        <fgColor rgb="FF44546A"/>
        <bgColor rgb="FF1F4E78"/>
      </patternFill>
    </fill>
    <fill>
      <patternFill patternType="solid">
        <fgColor rgb="FFE7E6E6"/>
        <bgColor rgb="FFFFFFFF"/>
      </patternFill>
    </fill>
    <fill>
      <patternFill patternType="solid">
        <fgColor rgb="FFC00000"/>
        <bgColor rgb="FF800000"/>
      </patternFill>
    </fill>
  </fills>
  <borders count="1">
    <border>
      <left/>
      <right/>
      <top/>
      <bottom/>
      <diagonal/>
    </border>
  </borders>
  <cellStyleXfs count="1">
    <xf numFmtId="0" fontId="0" fillId="0" borderId="0"/>
  </cellStyleXfs>
  <cellXfs count="12">
    <xf numFmtId="0" fontId="0" fillId="0" borderId="0" xfId="0"/>
    <xf numFmtId="0" fontId="3" fillId="2" borderId="0" xfId="0" applyFont="1" applyFill="1" applyBorder="1"/>
    <xf numFmtId="0" fontId="3" fillId="5" borderId="0" xfId="0" applyFont="1" applyFill="1" applyBorder="1"/>
    <xf numFmtId="0" fontId="3" fillId="3" borderId="0" xfId="0" applyFont="1" applyFill="1" applyBorder="1"/>
    <xf numFmtId="0" fontId="1" fillId="2" borderId="0" xfId="0" applyFont="1" applyFill="1" applyBorder="1" applyAlignment="1">
      <alignment horizontal="center" vertical="center"/>
    </xf>
    <xf numFmtId="0" fontId="2" fillId="0" borderId="0" xfId="0" applyFont="1"/>
    <xf numFmtId="0" fontId="0" fillId="0" borderId="0" xfId="0" applyFont="1"/>
    <xf numFmtId="0" fontId="4" fillId="4" borderId="0" xfId="0" applyFont="1" applyFill="1"/>
    <xf numFmtId="0" fontId="5" fillId="0" borderId="0" xfId="0" applyFont="1" applyAlignment="1">
      <alignment horizontal="center" vertical="center"/>
    </xf>
    <xf numFmtId="0" fontId="6" fillId="3" borderId="0" xfId="0" applyFont="1" applyFill="1"/>
    <xf numFmtId="0" fontId="7" fillId="0" borderId="0" xfId="0" applyFont="1"/>
    <xf numFmtId="0" fontId="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zoomScaleNormal="100" workbookViewId="0"/>
  </sheetViews>
  <sheetFormatPr defaultColWidth="8.7109375" defaultRowHeight="15" x14ac:dyDescent="0.25"/>
  <cols>
    <col min="1" max="1" width="25" customWidth="1"/>
    <col min="2" max="2" width="30" customWidth="1"/>
    <col min="3" max="3" width="15" customWidth="1"/>
    <col min="4" max="4" width="20" customWidth="1"/>
    <col min="5" max="5" width="15" customWidth="1"/>
  </cols>
  <sheetData>
    <row r="1" spans="1:8" ht="30" customHeight="1" x14ac:dyDescent="0.25">
      <c r="A1" s="4" t="s">
        <v>0</v>
      </c>
      <c r="B1" s="4"/>
      <c r="C1" s="4"/>
      <c r="D1" s="4"/>
      <c r="E1" s="4"/>
      <c r="F1" s="4"/>
      <c r="G1" s="4"/>
      <c r="H1" s="4"/>
    </row>
    <row r="2" spans="1:8" ht="19.5" customHeight="1" x14ac:dyDescent="0.25">
      <c r="A2" s="5" t="s">
        <v>1</v>
      </c>
      <c r="B2" s="6" t="s">
        <v>2</v>
      </c>
    </row>
    <row r="4" spans="1:8" ht="24.75" customHeight="1" x14ac:dyDescent="0.25">
      <c r="A4" s="3" t="s">
        <v>3</v>
      </c>
      <c r="B4" s="3"/>
      <c r="C4" s="3"/>
      <c r="D4" s="3"/>
    </row>
    <row r="5" spans="1:8" x14ac:dyDescent="0.25">
      <c r="A5" s="7" t="s">
        <v>4</v>
      </c>
      <c r="E5" s="7" t="s">
        <v>5</v>
      </c>
    </row>
    <row r="6" spans="1:8" ht="25.5" x14ac:dyDescent="0.25">
      <c r="A6" s="8">
        <f>Publications_Summary!B2</f>
        <v>401</v>
      </c>
      <c r="E6" s="8">
        <f>Publications_Summary!B3</f>
        <v>54</v>
      </c>
    </row>
    <row r="8" spans="1:8" x14ac:dyDescent="0.25">
      <c r="A8" s="7" t="s">
        <v>6</v>
      </c>
      <c r="E8" s="7" t="s">
        <v>7</v>
      </c>
    </row>
    <row r="9" spans="1:8" ht="25.5" x14ac:dyDescent="0.25">
      <c r="A9" s="8">
        <f>Faculty_Metrics!B2</f>
        <v>59</v>
      </c>
      <c r="E9" s="8">
        <f>Faculty_Metrics!B3</f>
        <v>3.3389830508474576</v>
      </c>
    </row>
    <row r="12" spans="1:8" ht="18" x14ac:dyDescent="0.25">
      <c r="A12" s="2" t="s">
        <v>8</v>
      </c>
      <c r="B12" s="2"/>
      <c r="C12" s="2"/>
      <c r="D12" s="2"/>
      <c r="E12" s="2"/>
      <c r="F12" s="2"/>
      <c r="G12" s="2"/>
      <c r="H12" s="2"/>
    </row>
    <row r="13" spans="1:8" x14ac:dyDescent="0.25">
      <c r="A13" s="9" t="s">
        <v>9</v>
      </c>
      <c r="B13" s="9" t="s">
        <v>10</v>
      </c>
      <c r="C13" s="9" t="s">
        <v>11</v>
      </c>
      <c r="D13" s="9" t="s">
        <v>12</v>
      </c>
    </row>
    <row r="14" spans="1:8" x14ac:dyDescent="0.25">
      <c r="A14" t="s">
        <v>13</v>
      </c>
      <c r="B14" t="s">
        <v>14</v>
      </c>
      <c r="C14">
        <f>Faculty_Metrics!B4</f>
        <v>40</v>
      </c>
      <c r="D14" t="s">
        <v>15</v>
      </c>
    </row>
    <row r="15" spans="1:8" x14ac:dyDescent="0.25">
      <c r="A15" t="s">
        <v>16</v>
      </c>
      <c r="B15" t="s">
        <v>17</v>
      </c>
      <c r="C15">
        <f>Faculty_Metrics!B5</f>
        <v>3</v>
      </c>
      <c r="D15" t="s">
        <v>18</v>
      </c>
    </row>
    <row r="16" spans="1:8" x14ac:dyDescent="0.25">
      <c r="A16" t="s">
        <v>19</v>
      </c>
      <c r="B16" t="s">
        <v>20</v>
      </c>
      <c r="C16">
        <f>Faculty_Metrics!B6</f>
        <v>56</v>
      </c>
      <c r="D16" t="s">
        <v>21</v>
      </c>
    </row>
    <row r="18" spans="1:8" ht="18" x14ac:dyDescent="0.25">
      <c r="A18" s="3" t="s">
        <v>22</v>
      </c>
      <c r="B18" s="3"/>
      <c r="C18" s="3"/>
      <c r="D18" s="3"/>
      <c r="E18" s="3"/>
      <c r="F18" s="3"/>
      <c r="G18" s="3"/>
      <c r="H18" s="3"/>
    </row>
    <row r="19" spans="1:8" x14ac:dyDescent="0.25">
      <c r="A19" t="s">
        <v>23</v>
      </c>
      <c r="B19" t="s">
        <v>24</v>
      </c>
    </row>
    <row r="20" spans="1:8" x14ac:dyDescent="0.25">
      <c r="A20" t="s">
        <v>25</v>
      </c>
      <c r="B20">
        <f>Publications_Summary!B4</f>
        <v>0</v>
      </c>
    </row>
    <row r="21" spans="1:8" x14ac:dyDescent="0.25">
      <c r="A21" t="s">
        <v>26</v>
      </c>
      <c r="B21">
        <f>Publications_Summary!B5</f>
        <v>54</v>
      </c>
    </row>
    <row r="22" spans="1:8" x14ac:dyDescent="0.25">
      <c r="A22" t="s">
        <v>27</v>
      </c>
      <c r="B22">
        <f>Publications_Summary!B6</f>
        <v>61</v>
      </c>
    </row>
    <row r="23" spans="1:8" x14ac:dyDescent="0.25">
      <c r="A23" t="s">
        <v>28</v>
      </c>
      <c r="B23">
        <f>Publications_Summary!B7</f>
        <v>53</v>
      </c>
    </row>
    <row r="24" spans="1:8" x14ac:dyDescent="0.25">
      <c r="A24" t="s">
        <v>29</v>
      </c>
      <c r="B24">
        <f>Publications_Summary!B8</f>
        <v>57</v>
      </c>
    </row>
    <row r="25" spans="1:8" x14ac:dyDescent="0.25">
      <c r="A25" t="s">
        <v>30</v>
      </c>
      <c r="B25">
        <f>Publications_Summary!B9</f>
        <v>44</v>
      </c>
    </row>
    <row r="26" spans="1:8" x14ac:dyDescent="0.25">
      <c r="A26" t="s">
        <v>31</v>
      </c>
      <c r="B26">
        <f>Publications_Summary!B10</f>
        <v>48</v>
      </c>
    </row>
    <row r="27" spans="1:8" x14ac:dyDescent="0.25">
      <c r="A27" t="s">
        <v>32</v>
      </c>
      <c r="B27">
        <f>Publications_Summary!B11</f>
        <v>84</v>
      </c>
    </row>
  </sheetData>
  <mergeCells count="4">
    <mergeCell ref="A1:H1"/>
    <mergeCell ref="A4:D4"/>
    <mergeCell ref="A12:H12"/>
    <mergeCell ref="A18:H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zoomScaleNormal="100" workbookViewId="0">
      <selection activeCell="A5" sqref="A5"/>
    </sheetView>
  </sheetViews>
  <sheetFormatPr defaultColWidth="8.7109375" defaultRowHeight="15" x14ac:dyDescent="0.25"/>
  <cols>
    <col min="1" max="1" width="30" customWidth="1"/>
    <col min="2" max="2" width="20" customWidth="1"/>
  </cols>
  <sheetData>
    <row r="1" spans="1:3" ht="18" x14ac:dyDescent="0.25">
      <c r="A1" s="1" t="s">
        <v>33</v>
      </c>
      <c r="B1" s="1"/>
      <c r="C1" s="1"/>
    </row>
    <row r="2" spans="1:3" ht="15.75" x14ac:dyDescent="0.25">
      <c r="A2" s="10" t="s">
        <v>4</v>
      </c>
      <c r="B2" s="10">
        <f>SUM(B4:B11)</f>
        <v>401</v>
      </c>
    </row>
    <row r="3" spans="1:3" ht="15.75" x14ac:dyDescent="0.25">
      <c r="A3" s="10" t="s">
        <v>5</v>
      </c>
      <c r="B3" s="10">
        <f>COUNTA(Data_2025!D:D)-1</f>
        <v>54</v>
      </c>
    </row>
    <row r="5" spans="1:3" x14ac:dyDescent="0.25">
      <c r="A5" t="s">
        <v>25</v>
      </c>
      <c r="B5">
        <f>COUNTA(Data_2025!D:D)-1</f>
        <v>54</v>
      </c>
    </row>
    <row r="6" spans="1:3" x14ac:dyDescent="0.25">
      <c r="A6" t="s">
        <v>26</v>
      </c>
      <c r="B6">
        <f>COUNTA(Data_2024!D:D)-1</f>
        <v>61</v>
      </c>
    </row>
    <row r="7" spans="1:3" x14ac:dyDescent="0.25">
      <c r="A7" t="s">
        <v>27</v>
      </c>
      <c r="B7">
        <f>COUNTA(Data_2023!D:D)-1</f>
        <v>53</v>
      </c>
    </row>
    <row r="8" spans="1:3" x14ac:dyDescent="0.25">
      <c r="A8" t="s">
        <v>28</v>
      </c>
      <c r="B8">
        <f>COUNTA(Data_2022!D:D)-1</f>
        <v>57</v>
      </c>
    </row>
    <row r="9" spans="1:3" x14ac:dyDescent="0.25">
      <c r="A9" t="s">
        <v>29</v>
      </c>
      <c r="B9">
        <f>COUNTA(Data_2021!D:D)-1</f>
        <v>44</v>
      </c>
    </row>
    <row r="10" spans="1:3" x14ac:dyDescent="0.25">
      <c r="A10" t="s">
        <v>30</v>
      </c>
      <c r="B10">
        <f>COUNTA(Data_2020!D:D)-1</f>
        <v>48</v>
      </c>
    </row>
    <row r="11" spans="1:3" x14ac:dyDescent="0.25">
      <c r="A11" t="s">
        <v>31</v>
      </c>
      <c r="B11">
        <f>COUNTA(Data_2018_2019!D:D)-1</f>
        <v>84</v>
      </c>
    </row>
    <row r="12" spans="1:3" x14ac:dyDescent="0.25">
      <c r="A12" t="s">
        <v>34</v>
      </c>
      <c r="B12">
        <f>COUNTA(Data_2017_below!D:D)-1</f>
        <v>380</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zoomScaleNormal="100" workbookViewId="0"/>
  </sheetViews>
  <sheetFormatPr defaultColWidth="8.7109375" defaultRowHeight="15" x14ac:dyDescent="0.25"/>
  <cols>
    <col min="1" max="1" width="35" customWidth="1"/>
    <col min="2" max="2" width="20" customWidth="1"/>
  </cols>
  <sheetData>
    <row r="1" spans="1:3" ht="18" x14ac:dyDescent="0.25">
      <c r="A1" s="1" t="s">
        <v>35</v>
      </c>
      <c r="B1" s="1"/>
      <c r="C1" s="1"/>
    </row>
    <row r="2" spans="1:3" x14ac:dyDescent="0.25">
      <c r="A2" s="5" t="s">
        <v>36</v>
      </c>
      <c r="B2" s="6">
        <f>COUNTA(Faculty_Data!A:A)-1</f>
        <v>59</v>
      </c>
    </row>
    <row r="3" spans="1:3" x14ac:dyDescent="0.25">
      <c r="A3" s="5" t="s">
        <v>37</v>
      </c>
      <c r="B3" s="6">
        <f>AVERAGEIF(Faculty_Data!C:C,"&gt;0")</f>
        <v>3.3389830508474576</v>
      </c>
    </row>
    <row r="4" spans="1:3" x14ac:dyDescent="0.25">
      <c r="A4" s="5" t="s">
        <v>38</v>
      </c>
      <c r="B4" s="6">
        <f>COUNTBLANK(Faculty_Data!C2:C100)</f>
        <v>40</v>
      </c>
    </row>
    <row r="5" spans="1:3" x14ac:dyDescent="0.25">
      <c r="A5" s="5" t="s">
        <v>39</v>
      </c>
      <c r="B5" s="6">
        <f>COUNTIFS(Faculty_Data!B:B,"&lt;100",Faculty_Data!B:B,"&gt;0")</f>
        <v>3</v>
      </c>
    </row>
    <row r="6" spans="1:3" x14ac:dyDescent="0.25">
      <c r="A6" s="5" t="s">
        <v>40</v>
      </c>
      <c r="B6" s="6">
        <f>B2-SUMPRODUCT((COUNTIF(Data_2024!E:E,Faculty_Data!A2:A100)&gt;0)+(COUNTIF(Data_2025!E:E,Faculty_Data!A2:A100)&gt;0))</f>
        <v>56</v>
      </c>
    </row>
  </sheetData>
  <mergeCells count="1">
    <mergeCell ref="A1:C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zoomScaleNormal="100" workbookViewId="0">
      <selection sqref="A1:J1"/>
    </sheetView>
  </sheetViews>
  <sheetFormatPr defaultColWidth="8.7109375" defaultRowHeight="15" x14ac:dyDescent="0.25"/>
  <cols>
    <col min="1" max="10" width="18" customWidth="1"/>
  </cols>
  <sheetData>
    <row r="1" spans="1:10" ht="18" x14ac:dyDescent="0.25">
      <c r="A1" s="1" t="s">
        <v>41</v>
      </c>
      <c r="B1" s="1"/>
      <c r="C1" s="1"/>
      <c r="D1" s="1"/>
      <c r="E1" s="1"/>
      <c r="F1" s="1"/>
      <c r="G1" s="1"/>
      <c r="H1" s="1"/>
      <c r="I1" s="1"/>
      <c r="J1" s="1"/>
    </row>
    <row r="2" spans="1:10" x14ac:dyDescent="0.25">
      <c r="A2" s="9" t="s">
        <v>42</v>
      </c>
      <c r="B2" s="9" t="s">
        <v>43</v>
      </c>
      <c r="C2" s="9" t="s">
        <v>23</v>
      </c>
      <c r="D2" s="9" t="s">
        <v>44</v>
      </c>
      <c r="E2" s="9" t="s">
        <v>45</v>
      </c>
      <c r="F2" s="9" t="s">
        <v>46</v>
      </c>
      <c r="G2" s="9" t="s">
        <v>47</v>
      </c>
      <c r="H2" s="9" t="s">
        <v>12</v>
      </c>
      <c r="I2" s="9" t="s">
        <v>48</v>
      </c>
      <c r="J2" s="9" t="s">
        <v>49</v>
      </c>
    </row>
    <row r="3" spans="1:10" x14ac:dyDescent="0.25">
      <c r="A3" t="s">
        <v>50</v>
      </c>
      <c r="B3" t="s">
        <v>51</v>
      </c>
      <c r="C3" t="s">
        <v>52</v>
      </c>
      <c r="D3" t="s">
        <v>53</v>
      </c>
      <c r="E3" t="s">
        <v>54</v>
      </c>
    </row>
  </sheetData>
  <mergeCells count="1">
    <mergeCell ref="A1:J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0"/>
  <sheetViews>
    <sheetView zoomScaleNormal="100" workbookViewId="0"/>
  </sheetViews>
  <sheetFormatPr defaultColWidth="8.7109375" defaultRowHeight="15" x14ac:dyDescent="0.25"/>
  <sheetData>
    <row r="1" spans="1:5" x14ac:dyDescent="0.25">
      <c r="A1" s="9" t="s">
        <v>55</v>
      </c>
      <c r="B1" s="9" t="s">
        <v>56</v>
      </c>
      <c r="C1" s="9" t="s">
        <v>57</v>
      </c>
      <c r="D1" s="9" t="s">
        <v>58</v>
      </c>
      <c r="E1" s="9" t="s">
        <v>59</v>
      </c>
    </row>
    <row r="2" spans="1:5" x14ac:dyDescent="0.25">
      <c r="A2" t="s">
        <v>60</v>
      </c>
      <c r="B2">
        <v>340</v>
      </c>
      <c r="C2">
        <v>11</v>
      </c>
      <c r="D2">
        <v>14</v>
      </c>
      <c r="E2" t="s">
        <v>61</v>
      </c>
    </row>
    <row r="3" spans="1:5" x14ac:dyDescent="0.25">
      <c r="A3" t="s">
        <v>62</v>
      </c>
      <c r="B3">
        <v>588</v>
      </c>
      <c r="C3">
        <v>13</v>
      </c>
      <c r="D3">
        <v>15</v>
      </c>
      <c r="E3" t="s">
        <v>63</v>
      </c>
    </row>
    <row r="4" spans="1:5" x14ac:dyDescent="0.25">
      <c r="A4" t="s">
        <v>64</v>
      </c>
      <c r="B4">
        <v>192</v>
      </c>
      <c r="C4">
        <v>8</v>
      </c>
      <c r="D4">
        <v>7</v>
      </c>
      <c r="E4" t="s">
        <v>65</v>
      </c>
    </row>
    <row r="5" spans="1:5" x14ac:dyDescent="0.25">
      <c r="A5" t="s">
        <v>66</v>
      </c>
      <c r="B5">
        <v>472</v>
      </c>
      <c r="C5">
        <v>8</v>
      </c>
      <c r="D5">
        <v>8</v>
      </c>
      <c r="E5" t="s">
        <v>67</v>
      </c>
    </row>
    <row r="6" spans="1:5" x14ac:dyDescent="0.25">
      <c r="A6" t="s">
        <v>68</v>
      </c>
      <c r="B6">
        <v>87</v>
      </c>
      <c r="C6">
        <v>5</v>
      </c>
      <c r="D6">
        <v>4</v>
      </c>
      <c r="E6" t="s">
        <v>69</v>
      </c>
    </row>
    <row r="7" spans="1:5" x14ac:dyDescent="0.25">
      <c r="A7" t="s">
        <v>70</v>
      </c>
      <c r="C7">
        <v>2</v>
      </c>
      <c r="D7">
        <v>0</v>
      </c>
      <c r="E7" t="s">
        <v>71</v>
      </c>
    </row>
    <row r="8" spans="1:5" x14ac:dyDescent="0.25">
      <c r="A8" t="s">
        <v>72</v>
      </c>
      <c r="C8">
        <v>3</v>
      </c>
      <c r="D8">
        <v>2</v>
      </c>
      <c r="E8" t="s">
        <v>73</v>
      </c>
    </row>
    <row r="9" spans="1:5" x14ac:dyDescent="0.25">
      <c r="A9" t="s">
        <v>74</v>
      </c>
      <c r="C9">
        <v>3</v>
      </c>
      <c r="D9">
        <v>2</v>
      </c>
      <c r="E9" t="s">
        <v>75</v>
      </c>
    </row>
    <row r="10" spans="1:5" x14ac:dyDescent="0.25">
      <c r="A10" t="s">
        <v>76</v>
      </c>
      <c r="C10">
        <v>3</v>
      </c>
      <c r="D10">
        <v>2</v>
      </c>
      <c r="E10" t="s">
        <v>77</v>
      </c>
    </row>
    <row r="11" spans="1:5" x14ac:dyDescent="0.25">
      <c r="A11" t="s">
        <v>78</v>
      </c>
      <c r="C11">
        <v>2</v>
      </c>
      <c r="D11">
        <v>0</v>
      </c>
      <c r="E11" t="s">
        <v>79</v>
      </c>
    </row>
    <row r="12" spans="1:5" x14ac:dyDescent="0.25">
      <c r="A12" t="s">
        <v>80</v>
      </c>
      <c r="B12">
        <v>554</v>
      </c>
      <c r="C12">
        <v>11</v>
      </c>
      <c r="D12">
        <v>13</v>
      </c>
      <c r="E12" t="s">
        <v>81</v>
      </c>
    </row>
    <row r="13" spans="1:5" x14ac:dyDescent="0.25">
      <c r="A13" t="s">
        <v>82</v>
      </c>
      <c r="B13">
        <v>159</v>
      </c>
      <c r="C13">
        <v>8</v>
      </c>
      <c r="D13">
        <v>7</v>
      </c>
      <c r="E13" t="s">
        <v>83</v>
      </c>
    </row>
    <row r="14" spans="1:5" x14ac:dyDescent="0.25">
      <c r="A14" t="s">
        <v>84</v>
      </c>
      <c r="C14">
        <v>4</v>
      </c>
      <c r="D14">
        <v>2</v>
      </c>
      <c r="E14" t="s">
        <v>85</v>
      </c>
    </row>
    <row r="15" spans="1:5" x14ac:dyDescent="0.25">
      <c r="A15" t="s">
        <v>86</v>
      </c>
      <c r="C15">
        <v>2</v>
      </c>
      <c r="D15">
        <v>1</v>
      </c>
      <c r="E15" t="s">
        <v>87</v>
      </c>
    </row>
    <row r="16" spans="1:5" x14ac:dyDescent="0.25">
      <c r="A16" t="s">
        <v>88</v>
      </c>
      <c r="C16">
        <v>2</v>
      </c>
      <c r="D16">
        <v>1</v>
      </c>
      <c r="E16" t="s">
        <v>87</v>
      </c>
    </row>
    <row r="17" spans="1:5" x14ac:dyDescent="0.25">
      <c r="A17" t="s">
        <v>89</v>
      </c>
      <c r="C17">
        <v>3</v>
      </c>
      <c r="D17">
        <v>1</v>
      </c>
      <c r="E17" t="s">
        <v>90</v>
      </c>
    </row>
    <row r="18" spans="1:5" x14ac:dyDescent="0.25">
      <c r="A18" t="s">
        <v>91</v>
      </c>
      <c r="B18">
        <v>535</v>
      </c>
      <c r="C18">
        <v>7</v>
      </c>
      <c r="D18">
        <v>6</v>
      </c>
      <c r="E18" t="s">
        <v>92</v>
      </c>
    </row>
    <row r="19" spans="1:5" x14ac:dyDescent="0.25">
      <c r="A19" t="s">
        <v>93</v>
      </c>
      <c r="C19">
        <v>1</v>
      </c>
      <c r="D19">
        <v>0</v>
      </c>
      <c r="E19" t="s">
        <v>94</v>
      </c>
    </row>
    <row r="20" spans="1:5" x14ac:dyDescent="0.25">
      <c r="A20" t="s">
        <v>95</v>
      </c>
      <c r="C20">
        <v>2</v>
      </c>
      <c r="D20">
        <v>0</v>
      </c>
      <c r="E20" t="s">
        <v>96</v>
      </c>
    </row>
    <row r="21" spans="1:5" x14ac:dyDescent="0.25">
      <c r="A21" t="s">
        <v>97</v>
      </c>
      <c r="C21">
        <v>3</v>
      </c>
      <c r="D21">
        <v>1</v>
      </c>
      <c r="E21" t="s">
        <v>98</v>
      </c>
    </row>
    <row r="22" spans="1:5" x14ac:dyDescent="0.25">
      <c r="A22" t="s">
        <v>99</v>
      </c>
      <c r="C22">
        <v>1</v>
      </c>
      <c r="D22">
        <v>0</v>
      </c>
      <c r="E22" t="s">
        <v>100</v>
      </c>
    </row>
    <row r="23" spans="1:5" x14ac:dyDescent="0.25">
      <c r="A23" t="s">
        <v>101</v>
      </c>
      <c r="C23">
        <v>2</v>
      </c>
      <c r="D23">
        <v>1</v>
      </c>
      <c r="E23" t="s">
        <v>102</v>
      </c>
    </row>
    <row r="24" spans="1:5" x14ac:dyDescent="0.25">
      <c r="A24" t="s">
        <v>103</v>
      </c>
      <c r="B24">
        <v>395</v>
      </c>
      <c r="C24">
        <v>6</v>
      </c>
      <c r="D24">
        <v>1</v>
      </c>
      <c r="E24" t="s">
        <v>104</v>
      </c>
    </row>
    <row r="25" spans="1:5" x14ac:dyDescent="0.25">
      <c r="A25" t="s">
        <v>105</v>
      </c>
      <c r="C25">
        <v>1</v>
      </c>
      <c r="D25">
        <v>0</v>
      </c>
      <c r="E25" t="s">
        <v>106</v>
      </c>
    </row>
    <row r="26" spans="1:5" x14ac:dyDescent="0.25">
      <c r="A26" t="s">
        <v>107</v>
      </c>
      <c r="B26">
        <v>211</v>
      </c>
      <c r="C26">
        <v>7</v>
      </c>
      <c r="D26">
        <v>7</v>
      </c>
      <c r="E26" t="s">
        <v>108</v>
      </c>
    </row>
    <row r="27" spans="1:5" x14ac:dyDescent="0.25">
      <c r="A27" t="s">
        <v>109</v>
      </c>
      <c r="C27">
        <v>1</v>
      </c>
      <c r="D27">
        <v>0</v>
      </c>
      <c r="E27" t="s">
        <v>110</v>
      </c>
    </row>
    <row r="28" spans="1:5" x14ac:dyDescent="0.25">
      <c r="A28" t="s">
        <v>111</v>
      </c>
      <c r="C28">
        <v>4</v>
      </c>
      <c r="D28">
        <v>1</v>
      </c>
      <c r="E28" t="s">
        <v>112</v>
      </c>
    </row>
    <row r="29" spans="1:5" x14ac:dyDescent="0.25">
      <c r="A29" t="s">
        <v>113</v>
      </c>
      <c r="B29">
        <v>89</v>
      </c>
      <c r="C29">
        <v>6</v>
      </c>
      <c r="D29">
        <v>5</v>
      </c>
      <c r="E29" t="s">
        <v>114</v>
      </c>
    </row>
    <row r="30" spans="1:5" x14ac:dyDescent="0.25">
      <c r="A30" t="s">
        <v>115</v>
      </c>
      <c r="C30">
        <v>2</v>
      </c>
      <c r="D30">
        <v>1</v>
      </c>
      <c r="E30" t="s">
        <v>116</v>
      </c>
    </row>
    <row r="31" spans="1:5" x14ac:dyDescent="0.25">
      <c r="A31" t="s">
        <v>117</v>
      </c>
      <c r="C31">
        <v>2</v>
      </c>
      <c r="D31">
        <v>0</v>
      </c>
      <c r="E31" t="s">
        <v>118</v>
      </c>
    </row>
    <row r="32" spans="1:5" x14ac:dyDescent="0.25">
      <c r="A32" t="s">
        <v>119</v>
      </c>
      <c r="C32">
        <v>1</v>
      </c>
      <c r="D32">
        <v>0</v>
      </c>
      <c r="E32" t="s">
        <v>120</v>
      </c>
    </row>
    <row r="33" spans="1:5" x14ac:dyDescent="0.25">
      <c r="A33" t="s">
        <v>121</v>
      </c>
      <c r="C33">
        <v>2</v>
      </c>
      <c r="D33">
        <v>0</v>
      </c>
      <c r="E33" t="s">
        <v>122</v>
      </c>
    </row>
    <row r="34" spans="1:5" x14ac:dyDescent="0.25">
      <c r="A34" t="s">
        <v>123</v>
      </c>
      <c r="C34">
        <v>1</v>
      </c>
      <c r="D34">
        <v>0</v>
      </c>
      <c r="E34" t="s">
        <v>124</v>
      </c>
    </row>
    <row r="35" spans="1:5" x14ac:dyDescent="0.25">
      <c r="A35" t="s">
        <v>125</v>
      </c>
      <c r="C35">
        <v>1</v>
      </c>
      <c r="D35">
        <v>0</v>
      </c>
      <c r="E35" t="s">
        <v>126</v>
      </c>
    </row>
    <row r="36" spans="1:5" x14ac:dyDescent="0.25">
      <c r="A36" t="s">
        <v>127</v>
      </c>
      <c r="C36">
        <v>4</v>
      </c>
      <c r="D36">
        <v>2</v>
      </c>
      <c r="E36" t="s">
        <v>128</v>
      </c>
    </row>
    <row r="37" spans="1:5" x14ac:dyDescent="0.25">
      <c r="A37" t="s">
        <v>129</v>
      </c>
      <c r="C37">
        <v>3</v>
      </c>
      <c r="D37">
        <v>0</v>
      </c>
      <c r="E37" t="s">
        <v>130</v>
      </c>
    </row>
    <row r="38" spans="1:5" x14ac:dyDescent="0.25">
      <c r="A38" t="s">
        <v>131</v>
      </c>
      <c r="C38">
        <v>1</v>
      </c>
      <c r="D38">
        <v>1</v>
      </c>
      <c r="E38" t="s">
        <v>132</v>
      </c>
    </row>
    <row r="39" spans="1:5" x14ac:dyDescent="0.25">
      <c r="A39" t="s">
        <v>133</v>
      </c>
      <c r="C39">
        <v>1</v>
      </c>
      <c r="D39">
        <v>0</v>
      </c>
      <c r="E39" t="s">
        <v>134</v>
      </c>
    </row>
    <row r="40" spans="1:5" x14ac:dyDescent="0.25">
      <c r="A40" t="s">
        <v>135</v>
      </c>
      <c r="C40">
        <v>3</v>
      </c>
      <c r="D40">
        <v>0</v>
      </c>
      <c r="E40" t="s">
        <v>136</v>
      </c>
    </row>
    <row r="41" spans="1:5" x14ac:dyDescent="0.25">
      <c r="A41" t="s">
        <v>137</v>
      </c>
      <c r="B41">
        <v>77</v>
      </c>
      <c r="C41">
        <v>5</v>
      </c>
      <c r="D41">
        <v>2</v>
      </c>
      <c r="E41" t="s">
        <v>138</v>
      </c>
    </row>
    <row r="42" spans="1:5" x14ac:dyDescent="0.25">
      <c r="A42" t="s">
        <v>139</v>
      </c>
      <c r="C42">
        <v>2</v>
      </c>
      <c r="D42">
        <v>0</v>
      </c>
      <c r="E42" t="s">
        <v>140</v>
      </c>
    </row>
    <row r="43" spans="1:5" x14ac:dyDescent="0.25">
      <c r="A43" t="s">
        <v>141</v>
      </c>
      <c r="C43">
        <v>1</v>
      </c>
      <c r="D43">
        <v>1</v>
      </c>
      <c r="E43" t="s">
        <v>142</v>
      </c>
    </row>
    <row r="44" spans="1:5" x14ac:dyDescent="0.25">
      <c r="A44" t="s">
        <v>143</v>
      </c>
      <c r="C44">
        <v>2</v>
      </c>
      <c r="D44">
        <v>0</v>
      </c>
      <c r="E44" t="s">
        <v>144</v>
      </c>
    </row>
    <row r="45" spans="1:5" x14ac:dyDescent="0.25">
      <c r="A45" t="s">
        <v>145</v>
      </c>
      <c r="C45">
        <v>3</v>
      </c>
      <c r="D45">
        <v>1</v>
      </c>
      <c r="E45" t="s">
        <v>146</v>
      </c>
    </row>
    <row r="46" spans="1:5" x14ac:dyDescent="0.25">
      <c r="A46" t="s">
        <v>147</v>
      </c>
      <c r="C46">
        <v>4</v>
      </c>
      <c r="D46">
        <v>2</v>
      </c>
      <c r="E46" t="s">
        <v>148</v>
      </c>
    </row>
    <row r="47" spans="1:5" x14ac:dyDescent="0.25">
      <c r="A47" t="s">
        <v>149</v>
      </c>
      <c r="C47">
        <v>3</v>
      </c>
      <c r="D47">
        <v>0</v>
      </c>
      <c r="E47" t="s">
        <v>150</v>
      </c>
    </row>
    <row r="48" spans="1:5" x14ac:dyDescent="0.25">
      <c r="A48" t="s">
        <v>151</v>
      </c>
      <c r="C48">
        <v>2</v>
      </c>
      <c r="D48">
        <v>1</v>
      </c>
      <c r="E48" t="s">
        <v>152</v>
      </c>
    </row>
    <row r="49" spans="1:5" x14ac:dyDescent="0.25">
      <c r="A49" t="s">
        <v>153</v>
      </c>
      <c r="C49">
        <v>1</v>
      </c>
      <c r="D49">
        <v>0</v>
      </c>
      <c r="E49" t="s">
        <v>154</v>
      </c>
    </row>
    <row r="50" spans="1:5" x14ac:dyDescent="0.25">
      <c r="A50" t="s">
        <v>155</v>
      </c>
      <c r="C50">
        <v>1</v>
      </c>
      <c r="D50">
        <v>1</v>
      </c>
      <c r="E50" t="s">
        <v>156</v>
      </c>
    </row>
    <row r="51" spans="1:5" x14ac:dyDescent="0.25">
      <c r="A51" t="s">
        <v>157</v>
      </c>
      <c r="C51">
        <v>2</v>
      </c>
      <c r="D51">
        <v>0</v>
      </c>
      <c r="E51" t="s">
        <v>158</v>
      </c>
    </row>
    <row r="52" spans="1:5" x14ac:dyDescent="0.25">
      <c r="A52" t="s">
        <v>159</v>
      </c>
      <c r="C52">
        <v>3</v>
      </c>
      <c r="D52">
        <v>0</v>
      </c>
      <c r="E52" t="s">
        <v>160</v>
      </c>
    </row>
    <row r="53" spans="1:5" x14ac:dyDescent="0.25">
      <c r="A53" t="s">
        <v>161</v>
      </c>
      <c r="C53">
        <v>1</v>
      </c>
      <c r="D53">
        <v>0</v>
      </c>
      <c r="E53" t="s">
        <v>162</v>
      </c>
    </row>
    <row r="54" spans="1:5" x14ac:dyDescent="0.25">
      <c r="A54" t="s">
        <v>163</v>
      </c>
      <c r="C54">
        <v>2</v>
      </c>
      <c r="D54">
        <v>0</v>
      </c>
      <c r="E54" t="s">
        <v>164</v>
      </c>
    </row>
    <row r="55" spans="1:5" x14ac:dyDescent="0.25">
      <c r="A55" t="s">
        <v>165</v>
      </c>
      <c r="C55">
        <v>2</v>
      </c>
      <c r="D55">
        <v>0</v>
      </c>
      <c r="E55" t="s">
        <v>166</v>
      </c>
    </row>
    <row r="56" spans="1:5" x14ac:dyDescent="0.25">
      <c r="A56" t="s">
        <v>167</v>
      </c>
      <c r="C56">
        <v>2</v>
      </c>
      <c r="D56">
        <v>0</v>
      </c>
      <c r="E56" t="s">
        <v>168</v>
      </c>
    </row>
    <row r="57" spans="1:5" x14ac:dyDescent="0.25">
      <c r="A57" t="s">
        <v>169</v>
      </c>
      <c r="C57">
        <v>3</v>
      </c>
      <c r="D57">
        <v>0</v>
      </c>
      <c r="E57" t="s">
        <v>170</v>
      </c>
    </row>
    <row r="58" spans="1:5" x14ac:dyDescent="0.25">
      <c r="A58" t="s">
        <v>171</v>
      </c>
      <c r="C58">
        <v>1</v>
      </c>
      <c r="D58">
        <v>0</v>
      </c>
      <c r="E58" t="s">
        <v>172</v>
      </c>
    </row>
    <row r="59" spans="1:5" x14ac:dyDescent="0.25">
      <c r="A59" t="s">
        <v>173</v>
      </c>
      <c r="C59">
        <v>3</v>
      </c>
      <c r="D59">
        <v>0</v>
      </c>
      <c r="E59" t="s">
        <v>174</v>
      </c>
    </row>
    <row r="60" spans="1:5" x14ac:dyDescent="0.25">
      <c r="A60" t="s">
        <v>175</v>
      </c>
      <c r="C60">
        <v>4</v>
      </c>
      <c r="D60">
        <v>1</v>
      </c>
      <c r="E60" t="s">
        <v>176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9"/>
  <sheetViews>
    <sheetView tabSelected="1" zoomScaleNormal="100" workbookViewId="0">
      <selection activeCell="L2" sqref="A2:L2"/>
    </sheetView>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ht="195" x14ac:dyDescent="0.25">
      <c r="A2">
        <v>1</v>
      </c>
      <c r="B2" t="s">
        <v>185</v>
      </c>
      <c r="C2" t="s">
        <v>186</v>
      </c>
      <c r="D2" s="11" t="s">
        <v>187</v>
      </c>
      <c r="E2" t="s">
        <v>188</v>
      </c>
      <c r="F2" t="s">
        <v>189</v>
      </c>
      <c r="G2" t="s">
        <v>190</v>
      </c>
      <c r="H2" t="s">
        <v>191</v>
      </c>
      <c r="I2" s="11" t="s">
        <v>192</v>
      </c>
      <c r="J2" t="s">
        <v>193</v>
      </c>
    </row>
    <row r="3" spans="1:12" ht="45" x14ac:dyDescent="0.25">
      <c r="A3">
        <v>2</v>
      </c>
      <c r="B3" t="s">
        <v>185</v>
      </c>
      <c r="C3" t="s">
        <v>194</v>
      </c>
      <c r="D3" s="11" t="s">
        <v>195</v>
      </c>
      <c r="E3" t="s">
        <v>196</v>
      </c>
      <c r="F3" t="s">
        <v>189</v>
      </c>
      <c r="G3" t="s">
        <v>197</v>
      </c>
      <c r="H3" t="s">
        <v>191</v>
      </c>
      <c r="I3" t="s">
        <v>198</v>
      </c>
      <c r="J3" t="s">
        <v>199</v>
      </c>
      <c r="L3" t="s">
        <v>200</v>
      </c>
    </row>
    <row r="4" spans="1:12" x14ac:dyDescent="0.25">
      <c r="A4">
        <v>3</v>
      </c>
      <c r="B4" t="s">
        <v>185</v>
      </c>
      <c r="C4" t="s">
        <v>201</v>
      </c>
      <c r="D4" t="s">
        <v>202</v>
      </c>
      <c r="E4" t="s">
        <v>203</v>
      </c>
      <c r="F4" t="s">
        <v>189</v>
      </c>
      <c r="G4" t="s">
        <v>204</v>
      </c>
      <c r="H4" t="s">
        <v>205</v>
      </c>
      <c r="I4" t="s">
        <v>206</v>
      </c>
      <c r="J4" t="s">
        <v>207</v>
      </c>
    </row>
    <row r="5" spans="1:12" x14ac:dyDescent="0.25">
      <c r="A5">
        <v>4</v>
      </c>
      <c r="B5" t="s">
        <v>185</v>
      </c>
      <c r="C5" t="s">
        <v>208</v>
      </c>
      <c r="D5" t="s">
        <v>209</v>
      </c>
      <c r="E5" t="s">
        <v>210</v>
      </c>
      <c r="F5" t="s">
        <v>189</v>
      </c>
      <c r="G5" t="s">
        <v>211</v>
      </c>
      <c r="H5" t="s">
        <v>212</v>
      </c>
      <c r="I5" t="s">
        <v>213</v>
      </c>
      <c r="J5" t="s">
        <v>214</v>
      </c>
    </row>
    <row r="6" spans="1:12" ht="75" x14ac:dyDescent="0.25">
      <c r="A6">
        <v>5</v>
      </c>
      <c r="B6" t="s">
        <v>185</v>
      </c>
      <c r="C6" t="s">
        <v>215</v>
      </c>
      <c r="D6" t="s">
        <v>216</v>
      </c>
      <c r="E6" t="s">
        <v>217</v>
      </c>
      <c r="F6" t="s">
        <v>189</v>
      </c>
      <c r="G6" t="s">
        <v>218</v>
      </c>
      <c r="H6" t="s">
        <v>219</v>
      </c>
      <c r="I6" s="11" t="s">
        <v>220</v>
      </c>
      <c r="J6" t="s">
        <v>221</v>
      </c>
    </row>
    <row r="7" spans="1:12" x14ac:dyDescent="0.25">
      <c r="A7">
        <v>6</v>
      </c>
      <c r="B7" t="s">
        <v>185</v>
      </c>
      <c r="C7" t="s">
        <v>208</v>
      </c>
      <c r="D7" t="s">
        <v>222</v>
      </c>
      <c r="E7" t="s">
        <v>223</v>
      </c>
      <c r="F7" t="s">
        <v>189</v>
      </c>
      <c r="G7" t="s">
        <v>224</v>
      </c>
      <c r="H7" t="s">
        <v>225</v>
      </c>
      <c r="J7" t="s">
        <v>226</v>
      </c>
    </row>
    <row r="8" spans="1:12" ht="75" x14ac:dyDescent="0.25">
      <c r="A8">
        <v>7</v>
      </c>
      <c r="B8" t="s">
        <v>185</v>
      </c>
      <c r="C8" t="s">
        <v>215</v>
      </c>
      <c r="D8" t="s">
        <v>227</v>
      </c>
      <c r="E8" s="11" t="s">
        <v>228</v>
      </c>
      <c r="F8" t="s">
        <v>189</v>
      </c>
      <c r="G8" t="s">
        <v>229</v>
      </c>
      <c r="H8" t="s">
        <v>212</v>
      </c>
      <c r="I8" t="s">
        <v>230</v>
      </c>
      <c r="J8" t="s">
        <v>231</v>
      </c>
    </row>
    <row r="9" spans="1:12" x14ac:dyDescent="0.25">
      <c r="A9">
        <v>8</v>
      </c>
      <c r="B9" t="s">
        <v>185</v>
      </c>
      <c r="C9" t="s">
        <v>232</v>
      </c>
      <c r="D9" t="s">
        <v>233</v>
      </c>
      <c r="E9" t="s">
        <v>234</v>
      </c>
      <c r="F9" t="s">
        <v>189</v>
      </c>
      <c r="G9" t="s">
        <v>235</v>
      </c>
      <c r="H9" t="s">
        <v>212</v>
      </c>
      <c r="I9" t="s">
        <v>236</v>
      </c>
      <c r="J9" t="s">
        <v>237</v>
      </c>
    </row>
    <row r="10" spans="1:12" ht="105" x14ac:dyDescent="0.25">
      <c r="A10">
        <v>9</v>
      </c>
      <c r="B10" t="s">
        <v>185</v>
      </c>
      <c r="C10" t="s">
        <v>194</v>
      </c>
      <c r="D10" t="s">
        <v>238</v>
      </c>
      <c r="E10" s="11" t="s">
        <v>239</v>
      </c>
      <c r="F10" t="s">
        <v>189</v>
      </c>
      <c r="G10" s="11" t="s">
        <v>240</v>
      </c>
      <c r="H10" t="s">
        <v>219</v>
      </c>
      <c r="I10" t="s">
        <v>241</v>
      </c>
      <c r="J10" t="s">
        <v>242</v>
      </c>
    </row>
    <row r="11" spans="1:12" ht="165" x14ac:dyDescent="0.25">
      <c r="A11">
        <v>10</v>
      </c>
      <c r="B11" t="s">
        <v>185</v>
      </c>
      <c r="C11" t="s">
        <v>232</v>
      </c>
      <c r="D11" t="s">
        <v>243</v>
      </c>
      <c r="E11" t="s">
        <v>244</v>
      </c>
      <c r="F11" t="s">
        <v>189</v>
      </c>
      <c r="G11" s="11" t="s">
        <v>245</v>
      </c>
      <c r="H11" t="s">
        <v>212</v>
      </c>
      <c r="I11" t="s">
        <v>246</v>
      </c>
      <c r="J11" t="s">
        <v>247</v>
      </c>
    </row>
    <row r="12" spans="1:12" ht="120" x14ac:dyDescent="0.25">
      <c r="A12">
        <v>11</v>
      </c>
      <c r="B12" t="s">
        <v>185</v>
      </c>
      <c r="C12" t="s">
        <v>215</v>
      </c>
      <c r="D12" t="s">
        <v>248</v>
      </c>
      <c r="E12" s="11" t="s">
        <v>249</v>
      </c>
      <c r="F12" t="s">
        <v>189</v>
      </c>
      <c r="G12" s="11" t="s">
        <v>250</v>
      </c>
      <c r="H12" t="s">
        <v>251</v>
      </c>
      <c r="I12" s="11" t="s">
        <v>252</v>
      </c>
      <c r="J12" t="s">
        <v>253</v>
      </c>
    </row>
    <row r="13" spans="1:12" x14ac:dyDescent="0.25">
      <c r="A13">
        <v>12</v>
      </c>
      <c r="B13" t="s">
        <v>185</v>
      </c>
      <c r="C13" t="s">
        <v>215</v>
      </c>
      <c r="D13" t="s">
        <v>254</v>
      </c>
      <c r="E13" t="s">
        <v>255</v>
      </c>
      <c r="F13" t="s">
        <v>189</v>
      </c>
      <c r="G13" t="s">
        <v>256</v>
      </c>
      <c r="H13" t="s">
        <v>212</v>
      </c>
      <c r="I13" t="s">
        <v>257</v>
      </c>
      <c r="J13" t="s">
        <v>258</v>
      </c>
    </row>
    <row r="14" spans="1:12" x14ac:dyDescent="0.25">
      <c r="A14">
        <v>13</v>
      </c>
      <c r="B14" t="s">
        <v>185</v>
      </c>
      <c r="C14" t="s">
        <v>259</v>
      </c>
      <c r="D14" t="s">
        <v>260</v>
      </c>
      <c r="E14" t="s">
        <v>261</v>
      </c>
      <c r="F14" t="s">
        <v>189</v>
      </c>
      <c r="G14" t="s">
        <v>262</v>
      </c>
      <c r="H14" t="s">
        <v>219</v>
      </c>
      <c r="J14" t="s">
        <v>263</v>
      </c>
    </row>
    <row r="15" spans="1:12" x14ac:dyDescent="0.25">
      <c r="A15">
        <v>14</v>
      </c>
      <c r="B15" t="s">
        <v>185</v>
      </c>
      <c r="C15" t="s">
        <v>215</v>
      </c>
      <c r="D15" t="s">
        <v>264</v>
      </c>
      <c r="E15" t="s">
        <v>265</v>
      </c>
      <c r="F15" t="s">
        <v>189</v>
      </c>
      <c r="G15" t="s">
        <v>266</v>
      </c>
      <c r="H15" t="s">
        <v>212</v>
      </c>
      <c r="I15" t="s">
        <v>267</v>
      </c>
      <c r="J15" t="s">
        <v>268</v>
      </c>
    </row>
    <row r="16" spans="1:12" x14ac:dyDescent="0.25">
      <c r="A16">
        <v>15</v>
      </c>
      <c r="B16" t="s">
        <v>185</v>
      </c>
      <c r="C16" t="s">
        <v>269</v>
      </c>
      <c r="D16" t="s">
        <v>270</v>
      </c>
      <c r="E16" t="s">
        <v>271</v>
      </c>
      <c r="F16" t="s">
        <v>189</v>
      </c>
      <c r="G16" t="s">
        <v>272</v>
      </c>
      <c r="H16" t="s">
        <v>212</v>
      </c>
      <c r="I16" t="s">
        <v>273</v>
      </c>
      <c r="J16" t="s">
        <v>274</v>
      </c>
    </row>
    <row r="17" spans="1:10" ht="60" x14ac:dyDescent="0.25">
      <c r="A17">
        <v>16</v>
      </c>
      <c r="B17" t="s">
        <v>185</v>
      </c>
      <c r="C17" t="s">
        <v>201</v>
      </c>
      <c r="D17" s="11" t="s">
        <v>275</v>
      </c>
      <c r="E17" t="s">
        <v>276</v>
      </c>
      <c r="F17" t="s">
        <v>189</v>
      </c>
      <c r="G17" t="s">
        <v>277</v>
      </c>
      <c r="H17" t="s">
        <v>205</v>
      </c>
      <c r="I17" t="s">
        <v>278</v>
      </c>
      <c r="J17" t="s">
        <v>279</v>
      </c>
    </row>
    <row r="18" spans="1:10" ht="45" x14ac:dyDescent="0.25">
      <c r="A18">
        <v>17</v>
      </c>
      <c r="B18" t="s">
        <v>185</v>
      </c>
      <c r="C18" t="s">
        <v>280</v>
      </c>
      <c r="D18" s="11" t="s">
        <v>281</v>
      </c>
      <c r="E18" t="s">
        <v>282</v>
      </c>
      <c r="F18" t="s">
        <v>189</v>
      </c>
      <c r="G18" t="s">
        <v>224</v>
      </c>
      <c r="H18" t="s">
        <v>225</v>
      </c>
      <c r="I18" t="s">
        <v>283</v>
      </c>
      <c r="J18" t="s">
        <v>284</v>
      </c>
    </row>
    <row r="19" spans="1:10" x14ac:dyDescent="0.25">
      <c r="A19">
        <v>18</v>
      </c>
      <c r="B19" t="s">
        <v>185</v>
      </c>
      <c r="C19" t="s">
        <v>194</v>
      </c>
      <c r="D19" t="s">
        <v>285</v>
      </c>
      <c r="E19" t="s">
        <v>286</v>
      </c>
      <c r="F19" t="s">
        <v>189</v>
      </c>
      <c r="G19" t="s">
        <v>287</v>
      </c>
      <c r="H19" t="s">
        <v>205</v>
      </c>
      <c r="I19" t="s">
        <v>288</v>
      </c>
      <c r="J19" t="s">
        <v>289</v>
      </c>
    </row>
    <row r="20" spans="1:10" x14ac:dyDescent="0.25">
      <c r="A20">
        <v>19</v>
      </c>
      <c r="B20" t="s">
        <v>185</v>
      </c>
      <c r="C20" t="s">
        <v>269</v>
      </c>
      <c r="D20" t="s">
        <v>290</v>
      </c>
      <c r="E20" t="s">
        <v>291</v>
      </c>
      <c r="F20" t="s">
        <v>189</v>
      </c>
      <c r="G20" t="s">
        <v>292</v>
      </c>
      <c r="H20" t="s">
        <v>212</v>
      </c>
      <c r="I20" t="s">
        <v>293</v>
      </c>
      <c r="J20" t="s">
        <v>294</v>
      </c>
    </row>
    <row r="21" spans="1:10" x14ac:dyDescent="0.25">
      <c r="A21">
        <v>20</v>
      </c>
      <c r="B21" t="s">
        <v>185</v>
      </c>
      <c r="C21" t="s">
        <v>194</v>
      </c>
      <c r="D21" t="s">
        <v>295</v>
      </c>
      <c r="E21" t="s">
        <v>296</v>
      </c>
      <c r="F21" t="s">
        <v>189</v>
      </c>
      <c r="G21" t="s">
        <v>297</v>
      </c>
      <c r="H21" t="s">
        <v>219</v>
      </c>
      <c r="I21" t="s">
        <v>298</v>
      </c>
      <c r="J21" t="s">
        <v>299</v>
      </c>
    </row>
    <row r="22" spans="1:10" x14ac:dyDescent="0.25">
      <c r="A22">
        <v>14</v>
      </c>
      <c r="B22" t="s">
        <v>185</v>
      </c>
    </row>
    <row r="23" spans="1:10" x14ac:dyDescent="0.25">
      <c r="A23">
        <v>15</v>
      </c>
      <c r="B23" t="s">
        <v>185</v>
      </c>
    </row>
    <row r="24" spans="1:10" x14ac:dyDescent="0.25">
      <c r="A24">
        <v>16</v>
      </c>
    </row>
    <row r="25" spans="1:10" x14ac:dyDescent="0.25">
      <c r="A25">
        <v>17</v>
      </c>
    </row>
    <row r="26" spans="1:10" x14ac:dyDescent="0.25">
      <c r="A26">
        <v>18</v>
      </c>
    </row>
    <row r="27" spans="1:10" x14ac:dyDescent="0.25">
      <c r="A27">
        <v>19</v>
      </c>
    </row>
    <row r="28" spans="1:10" x14ac:dyDescent="0.25">
      <c r="A28">
        <v>20</v>
      </c>
    </row>
    <row r="29" spans="1:10" x14ac:dyDescent="0.25">
      <c r="A29">
        <v>21</v>
      </c>
    </row>
    <row r="30" spans="1:10" x14ac:dyDescent="0.25">
      <c r="A30">
        <v>22</v>
      </c>
    </row>
    <row r="31" spans="1:10" x14ac:dyDescent="0.25">
      <c r="A31">
        <v>23</v>
      </c>
    </row>
    <row r="32" spans="1:10" x14ac:dyDescent="0.25">
      <c r="A32">
        <v>24</v>
      </c>
    </row>
    <row r="33" spans="1:1" x14ac:dyDescent="0.25">
      <c r="A33">
        <v>25</v>
      </c>
    </row>
    <row r="34" spans="1:1" x14ac:dyDescent="0.25">
      <c r="A34">
        <v>26</v>
      </c>
    </row>
    <row r="35" spans="1:1" x14ac:dyDescent="0.25">
      <c r="A35">
        <v>27</v>
      </c>
    </row>
    <row r="36" spans="1:1" x14ac:dyDescent="0.25">
      <c r="A36">
        <v>28</v>
      </c>
    </row>
    <row r="37" spans="1:1" x14ac:dyDescent="0.25">
      <c r="A37">
        <v>29</v>
      </c>
    </row>
    <row r="38" spans="1:1" x14ac:dyDescent="0.25">
      <c r="A38">
        <v>30</v>
      </c>
    </row>
    <row r="39" spans="1:1" x14ac:dyDescent="0.25">
      <c r="A39">
        <v>31</v>
      </c>
    </row>
    <row r="40" spans="1:1" x14ac:dyDescent="0.25">
      <c r="A40">
        <v>32</v>
      </c>
    </row>
    <row r="41" spans="1:1" x14ac:dyDescent="0.25">
      <c r="A41">
        <v>33</v>
      </c>
    </row>
    <row r="42" spans="1:1" x14ac:dyDescent="0.25">
      <c r="A42">
        <v>34</v>
      </c>
    </row>
    <row r="43" spans="1:1" x14ac:dyDescent="0.25">
      <c r="A43">
        <v>35</v>
      </c>
    </row>
    <row r="44" spans="1:1" x14ac:dyDescent="0.25">
      <c r="A44">
        <v>36</v>
      </c>
    </row>
    <row r="45" spans="1:1" x14ac:dyDescent="0.25">
      <c r="A45">
        <v>37</v>
      </c>
    </row>
    <row r="46" spans="1:1" x14ac:dyDescent="0.25">
      <c r="A46">
        <v>38</v>
      </c>
    </row>
    <row r="47" spans="1:1" x14ac:dyDescent="0.25">
      <c r="A47">
        <v>39</v>
      </c>
    </row>
    <row r="48" spans="1:1" x14ac:dyDescent="0.25">
      <c r="A48">
        <v>40</v>
      </c>
    </row>
    <row r="49" spans="1:10" x14ac:dyDescent="0.25">
      <c r="A49">
        <v>41</v>
      </c>
    </row>
    <row r="50" spans="1:10" x14ac:dyDescent="0.25">
      <c r="A50">
        <v>42</v>
      </c>
    </row>
    <row r="51" spans="1:10" x14ac:dyDescent="0.25">
      <c r="A51">
        <v>43</v>
      </c>
    </row>
    <row r="52" spans="1:10" x14ac:dyDescent="0.25">
      <c r="A52">
        <v>44</v>
      </c>
    </row>
    <row r="53" spans="1:10" x14ac:dyDescent="0.25">
      <c r="A53">
        <v>45</v>
      </c>
    </row>
    <row r="54" spans="1:10" x14ac:dyDescent="0.25">
      <c r="A54">
        <v>46</v>
      </c>
    </row>
    <row r="55" spans="1:10" x14ac:dyDescent="0.25">
      <c r="A55">
        <v>47</v>
      </c>
    </row>
    <row r="56" spans="1:10" x14ac:dyDescent="0.25">
      <c r="A56">
        <v>48</v>
      </c>
    </row>
    <row r="57" spans="1:10" x14ac:dyDescent="0.25">
      <c r="A57">
        <v>49</v>
      </c>
    </row>
    <row r="58" spans="1:10" x14ac:dyDescent="0.25">
      <c r="A58">
        <v>50</v>
      </c>
    </row>
    <row r="59" spans="1:10" x14ac:dyDescent="0.25">
      <c r="A59">
        <v>51</v>
      </c>
    </row>
    <row r="60" spans="1:10" x14ac:dyDescent="0.25">
      <c r="A60">
        <v>52</v>
      </c>
    </row>
    <row r="61" spans="1:10" x14ac:dyDescent="0.25">
      <c r="A61">
        <v>53</v>
      </c>
    </row>
    <row r="62" spans="1:10" x14ac:dyDescent="0.25">
      <c r="A62">
        <v>21</v>
      </c>
      <c r="B62" t="s">
        <v>185</v>
      </c>
      <c r="C62" t="s">
        <v>208</v>
      </c>
      <c r="D62" t="s">
        <v>300</v>
      </c>
      <c r="E62" t="s">
        <v>301</v>
      </c>
      <c r="F62" t="s">
        <v>189</v>
      </c>
      <c r="G62" t="s">
        <v>297</v>
      </c>
      <c r="H62" t="s">
        <v>219</v>
      </c>
      <c r="I62" t="s">
        <v>302</v>
      </c>
      <c r="J62" t="s">
        <v>303</v>
      </c>
    </row>
    <row r="63" spans="1:10" x14ac:dyDescent="0.25">
      <c r="A63">
        <v>22</v>
      </c>
      <c r="B63" t="s">
        <v>185</v>
      </c>
      <c r="C63" t="s">
        <v>304</v>
      </c>
      <c r="D63" t="s">
        <v>305</v>
      </c>
      <c r="E63" t="s">
        <v>306</v>
      </c>
      <c r="F63" t="s">
        <v>189</v>
      </c>
      <c r="G63" t="s">
        <v>297</v>
      </c>
      <c r="H63" t="s">
        <v>219</v>
      </c>
      <c r="I63" t="s">
        <v>307</v>
      </c>
      <c r="J63" t="s">
        <v>308</v>
      </c>
    </row>
    <row r="64" spans="1:10" x14ac:dyDescent="0.25">
      <c r="A64">
        <v>23</v>
      </c>
      <c r="B64" t="s">
        <v>185</v>
      </c>
      <c r="C64" t="s">
        <v>309</v>
      </c>
      <c r="D64" t="s">
        <v>310</v>
      </c>
      <c r="E64" t="s">
        <v>311</v>
      </c>
      <c r="F64" t="s">
        <v>189</v>
      </c>
      <c r="G64" t="s">
        <v>297</v>
      </c>
      <c r="H64" t="s">
        <v>219</v>
      </c>
      <c r="I64" t="s">
        <v>312</v>
      </c>
      <c r="J64" t="s">
        <v>313</v>
      </c>
    </row>
    <row r="65" spans="1:10" x14ac:dyDescent="0.25">
      <c r="A65">
        <v>24</v>
      </c>
      <c r="B65" t="s">
        <v>185</v>
      </c>
      <c r="C65" t="s">
        <v>314</v>
      </c>
      <c r="D65" t="s">
        <v>315</v>
      </c>
      <c r="E65" t="s">
        <v>316</v>
      </c>
      <c r="F65" t="s">
        <v>189</v>
      </c>
      <c r="G65" t="s">
        <v>297</v>
      </c>
      <c r="H65" t="s">
        <v>219</v>
      </c>
      <c r="I65" t="s">
        <v>317</v>
      </c>
      <c r="J65" t="s">
        <v>318</v>
      </c>
    </row>
    <row r="66" spans="1:10" ht="120" x14ac:dyDescent="0.25">
      <c r="A66">
        <v>25</v>
      </c>
      <c r="B66" t="s">
        <v>185</v>
      </c>
      <c r="C66" t="s">
        <v>319</v>
      </c>
      <c r="D66" s="11" t="s">
        <v>320</v>
      </c>
      <c r="E66" t="s">
        <v>321</v>
      </c>
      <c r="F66" t="s">
        <v>189</v>
      </c>
      <c r="G66" t="s">
        <v>297</v>
      </c>
      <c r="H66" t="s">
        <v>219</v>
      </c>
      <c r="I66" s="11" t="s">
        <v>322</v>
      </c>
      <c r="J66" t="s">
        <v>323</v>
      </c>
    </row>
    <row r="67" spans="1:10" ht="135" x14ac:dyDescent="0.25">
      <c r="A67">
        <v>26</v>
      </c>
      <c r="B67" t="s">
        <v>185</v>
      </c>
      <c r="C67" t="s">
        <v>324</v>
      </c>
      <c r="D67" t="s">
        <v>325</v>
      </c>
      <c r="E67" t="s">
        <v>326</v>
      </c>
      <c r="F67" t="s">
        <v>189</v>
      </c>
      <c r="G67" t="s">
        <v>327</v>
      </c>
      <c r="H67" t="s">
        <v>328</v>
      </c>
      <c r="I67" s="11" t="s">
        <v>329</v>
      </c>
      <c r="J67" t="s">
        <v>330</v>
      </c>
    </row>
    <row r="68" spans="1:10" ht="150" x14ac:dyDescent="0.25">
      <c r="A68">
        <v>27</v>
      </c>
      <c r="B68" t="s">
        <v>185</v>
      </c>
      <c r="C68" t="s">
        <v>331</v>
      </c>
      <c r="D68" t="s">
        <v>332</v>
      </c>
      <c r="E68" t="s">
        <v>333</v>
      </c>
      <c r="F68" t="s">
        <v>189</v>
      </c>
      <c r="G68" t="s">
        <v>334</v>
      </c>
      <c r="H68" t="s">
        <v>335</v>
      </c>
      <c r="I68" s="11" t="s">
        <v>336</v>
      </c>
      <c r="J68" t="s">
        <v>337</v>
      </c>
    </row>
    <row r="69" spans="1:10" x14ac:dyDescent="0.25">
      <c r="A69">
        <v>28</v>
      </c>
      <c r="B69" t="s">
        <v>185</v>
      </c>
      <c r="C69" t="s">
        <v>194</v>
      </c>
      <c r="D69" t="s">
        <v>338</v>
      </c>
      <c r="E69" t="s">
        <v>339</v>
      </c>
      <c r="F69" t="s">
        <v>189</v>
      </c>
      <c r="G69" t="s">
        <v>340</v>
      </c>
      <c r="H69" t="s">
        <v>191</v>
      </c>
      <c r="I69" t="s">
        <v>341</v>
      </c>
      <c r="J69" t="s">
        <v>342</v>
      </c>
    </row>
    <row r="70" spans="1:10" ht="45" x14ac:dyDescent="0.25">
      <c r="A70">
        <v>29</v>
      </c>
      <c r="B70" t="s">
        <v>185</v>
      </c>
      <c r="C70" t="s">
        <v>215</v>
      </c>
      <c r="D70" s="11" t="s">
        <v>343</v>
      </c>
      <c r="E70" t="s">
        <v>344</v>
      </c>
      <c r="F70" t="s">
        <v>189</v>
      </c>
      <c r="G70" t="s">
        <v>345</v>
      </c>
      <c r="H70" t="s">
        <v>191</v>
      </c>
      <c r="I70" t="s">
        <v>346</v>
      </c>
      <c r="J70" t="s">
        <v>347</v>
      </c>
    </row>
    <row r="71" spans="1:10" ht="45" x14ac:dyDescent="0.25">
      <c r="A71">
        <v>30</v>
      </c>
      <c r="B71" t="s">
        <v>185</v>
      </c>
      <c r="C71" t="s">
        <v>215</v>
      </c>
      <c r="D71" s="11" t="s">
        <v>348</v>
      </c>
      <c r="E71" t="s">
        <v>349</v>
      </c>
      <c r="F71" t="s">
        <v>189</v>
      </c>
      <c r="G71" t="s">
        <v>350</v>
      </c>
      <c r="H71" t="s">
        <v>191</v>
      </c>
      <c r="I71" t="s">
        <v>351</v>
      </c>
      <c r="J71" t="s">
        <v>352</v>
      </c>
    </row>
    <row r="72" spans="1:10" x14ac:dyDescent="0.25">
      <c r="A72">
        <v>31</v>
      </c>
      <c r="B72" t="s">
        <v>185</v>
      </c>
      <c r="C72" t="s">
        <v>215</v>
      </c>
      <c r="D72" t="s">
        <v>353</v>
      </c>
      <c r="E72" t="s">
        <v>354</v>
      </c>
      <c r="F72" t="s">
        <v>189</v>
      </c>
      <c r="G72" t="s">
        <v>355</v>
      </c>
      <c r="H72" t="s">
        <v>191</v>
      </c>
      <c r="I72" t="s">
        <v>356</v>
      </c>
      <c r="J72" t="s">
        <v>357</v>
      </c>
    </row>
    <row r="73" spans="1:10" ht="165" x14ac:dyDescent="0.25">
      <c r="A73">
        <v>32</v>
      </c>
      <c r="B73" t="s">
        <v>185</v>
      </c>
      <c r="C73" t="s">
        <v>232</v>
      </c>
      <c r="D73" s="11" t="s">
        <v>358</v>
      </c>
      <c r="E73" t="s">
        <v>359</v>
      </c>
      <c r="F73" t="s">
        <v>189</v>
      </c>
      <c r="G73" t="s">
        <v>360</v>
      </c>
      <c r="H73" t="s">
        <v>191</v>
      </c>
      <c r="I73" s="11" t="s">
        <v>361</v>
      </c>
      <c r="J73" t="s">
        <v>362</v>
      </c>
    </row>
    <row r="74" spans="1:10" ht="135" x14ac:dyDescent="0.25">
      <c r="A74">
        <v>33</v>
      </c>
      <c r="B74" t="s">
        <v>185</v>
      </c>
      <c r="C74" t="s">
        <v>259</v>
      </c>
      <c r="D74" s="11" t="s">
        <v>363</v>
      </c>
      <c r="E74" s="11" t="s">
        <v>364</v>
      </c>
      <c r="F74" t="s">
        <v>189</v>
      </c>
      <c r="G74" t="s">
        <v>365</v>
      </c>
      <c r="H74" t="s">
        <v>366</v>
      </c>
      <c r="I74" s="11" t="s">
        <v>367</v>
      </c>
      <c r="J74" t="s">
        <v>368</v>
      </c>
    </row>
    <row r="75" spans="1:10" ht="105" x14ac:dyDescent="0.25">
      <c r="A75">
        <v>34</v>
      </c>
      <c r="B75" t="s">
        <v>185</v>
      </c>
      <c r="C75" t="s">
        <v>194</v>
      </c>
      <c r="D75" t="s">
        <v>369</v>
      </c>
      <c r="E75" t="s">
        <v>370</v>
      </c>
      <c r="F75" t="s">
        <v>189</v>
      </c>
      <c r="G75" t="s">
        <v>371</v>
      </c>
      <c r="H75" t="s">
        <v>191</v>
      </c>
      <c r="I75" s="11" t="s">
        <v>372</v>
      </c>
      <c r="J75" t="s">
        <v>373</v>
      </c>
    </row>
    <row r="76" spans="1:10" ht="90" x14ac:dyDescent="0.25">
      <c r="A76">
        <v>35</v>
      </c>
      <c r="B76" t="s">
        <v>374</v>
      </c>
      <c r="C76" t="s">
        <v>331</v>
      </c>
      <c r="D76" s="11" t="s">
        <v>375</v>
      </c>
      <c r="E76" s="11" t="s">
        <v>376</v>
      </c>
      <c r="F76" t="s">
        <v>189</v>
      </c>
      <c r="G76" t="s">
        <v>377</v>
      </c>
      <c r="H76" t="s">
        <v>191</v>
      </c>
      <c r="I76" t="s">
        <v>378</v>
      </c>
      <c r="J76" t="s">
        <v>379</v>
      </c>
    </row>
    <row r="77" spans="1:10" ht="135" x14ac:dyDescent="0.25">
      <c r="A77">
        <v>36</v>
      </c>
      <c r="B77" t="s">
        <v>374</v>
      </c>
      <c r="C77" t="s">
        <v>194</v>
      </c>
      <c r="D77" s="11" t="s">
        <v>380</v>
      </c>
      <c r="E77" s="11" t="s">
        <v>381</v>
      </c>
      <c r="F77" t="s">
        <v>189</v>
      </c>
      <c r="G77" t="s">
        <v>327</v>
      </c>
      <c r="H77" t="s">
        <v>328</v>
      </c>
      <c r="I77" s="11" t="s">
        <v>382</v>
      </c>
      <c r="J77" t="s">
        <v>383</v>
      </c>
    </row>
    <row r="78" spans="1:10" ht="180" x14ac:dyDescent="0.25">
      <c r="A78">
        <v>37</v>
      </c>
      <c r="B78" t="s">
        <v>374</v>
      </c>
      <c r="C78" t="s">
        <v>201</v>
      </c>
      <c r="D78" s="11" t="s">
        <v>384</v>
      </c>
      <c r="E78" t="s">
        <v>385</v>
      </c>
      <c r="F78" t="s">
        <v>189</v>
      </c>
      <c r="G78" t="s">
        <v>386</v>
      </c>
      <c r="H78" t="s">
        <v>219</v>
      </c>
      <c r="I78" s="11" t="s">
        <v>387</v>
      </c>
      <c r="J78" t="s">
        <v>388</v>
      </c>
    </row>
    <row r="79" spans="1:10" ht="90" x14ac:dyDescent="0.25">
      <c r="A79">
        <v>38</v>
      </c>
      <c r="B79" t="s">
        <v>374</v>
      </c>
      <c r="C79" t="s">
        <v>389</v>
      </c>
      <c r="D79" t="s">
        <v>390</v>
      </c>
      <c r="E79" t="s">
        <v>391</v>
      </c>
      <c r="F79" t="s">
        <v>189</v>
      </c>
      <c r="G79" t="s">
        <v>392</v>
      </c>
      <c r="H79" t="s">
        <v>219</v>
      </c>
      <c r="I79" s="11" t="s">
        <v>393</v>
      </c>
      <c r="J79" t="s">
        <v>394</v>
      </c>
    </row>
    <row r="80" spans="1:10" x14ac:dyDescent="0.25">
      <c r="A80">
        <v>39</v>
      </c>
      <c r="B80" t="s">
        <v>374</v>
      </c>
      <c r="C80" t="s">
        <v>259</v>
      </c>
      <c r="D80" t="s">
        <v>395</v>
      </c>
      <c r="E80" t="s">
        <v>396</v>
      </c>
      <c r="F80" t="s">
        <v>189</v>
      </c>
      <c r="G80" t="s">
        <v>397</v>
      </c>
      <c r="H80" t="s">
        <v>219</v>
      </c>
      <c r="I80" t="s">
        <v>398</v>
      </c>
      <c r="J80" t="s">
        <v>399</v>
      </c>
    </row>
    <row r="81" spans="1:12" ht="135" x14ac:dyDescent="0.25">
      <c r="A81">
        <v>40</v>
      </c>
      <c r="B81" t="s">
        <v>374</v>
      </c>
      <c r="C81" t="s">
        <v>215</v>
      </c>
      <c r="D81" s="11" t="s">
        <v>400</v>
      </c>
      <c r="E81" s="11" t="s">
        <v>401</v>
      </c>
      <c r="F81" t="s">
        <v>189</v>
      </c>
      <c r="G81" t="s">
        <v>402</v>
      </c>
      <c r="H81" t="s">
        <v>219</v>
      </c>
      <c r="I81" t="s">
        <v>403</v>
      </c>
      <c r="J81" t="s">
        <v>404</v>
      </c>
    </row>
    <row r="82" spans="1:12" ht="150" x14ac:dyDescent="0.25">
      <c r="A82">
        <v>41</v>
      </c>
      <c r="B82" t="s">
        <v>374</v>
      </c>
      <c r="C82" t="s">
        <v>201</v>
      </c>
      <c r="D82" s="11" t="s">
        <v>405</v>
      </c>
      <c r="E82" s="11" t="s">
        <v>406</v>
      </c>
      <c r="F82" t="s">
        <v>189</v>
      </c>
      <c r="G82" t="s">
        <v>407</v>
      </c>
      <c r="H82" t="s">
        <v>191</v>
      </c>
      <c r="I82" t="s">
        <v>408</v>
      </c>
      <c r="J82" t="s">
        <v>409</v>
      </c>
    </row>
    <row r="83" spans="1:12" ht="135" x14ac:dyDescent="0.25">
      <c r="A83">
        <v>42</v>
      </c>
      <c r="B83" t="s">
        <v>374</v>
      </c>
      <c r="C83" t="s">
        <v>215</v>
      </c>
      <c r="D83" t="s">
        <v>410</v>
      </c>
      <c r="E83" s="11" t="s">
        <v>411</v>
      </c>
      <c r="F83" t="s">
        <v>189</v>
      </c>
      <c r="G83" t="s">
        <v>412</v>
      </c>
      <c r="H83" t="s">
        <v>219</v>
      </c>
      <c r="I83" t="s">
        <v>413</v>
      </c>
      <c r="J83" t="s">
        <v>414</v>
      </c>
    </row>
    <row r="84" spans="1:12" ht="60" x14ac:dyDescent="0.25">
      <c r="A84">
        <v>43</v>
      </c>
      <c r="B84" t="s">
        <v>374</v>
      </c>
      <c r="C84" t="s">
        <v>215</v>
      </c>
      <c r="D84" s="11" t="s">
        <v>415</v>
      </c>
      <c r="E84" t="s">
        <v>416</v>
      </c>
      <c r="F84" t="s">
        <v>189</v>
      </c>
      <c r="G84" t="s">
        <v>417</v>
      </c>
      <c r="H84" t="s">
        <v>191</v>
      </c>
      <c r="I84" t="s">
        <v>418</v>
      </c>
      <c r="J84" t="s">
        <v>419</v>
      </c>
    </row>
    <row r="85" spans="1:12" ht="60" x14ac:dyDescent="0.25">
      <c r="A85">
        <v>44</v>
      </c>
      <c r="B85" t="s">
        <v>374</v>
      </c>
      <c r="C85" t="s">
        <v>215</v>
      </c>
      <c r="D85" s="11" t="s">
        <v>420</v>
      </c>
      <c r="E85" t="s">
        <v>421</v>
      </c>
      <c r="F85" t="s">
        <v>189</v>
      </c>
      <c r="G85" t="s">
        <v>422</v>
      </c>
      <c r="H85" t="s">
        <v>219</v>
      </c>
      <c r="I85" t="s">
        <v>423</v>
      </c>
      <c r="J85" t="s">
        <v>424</v>
      </c>
    </row>
    <row r="86" spans="1:12" ht="150" x14ac:dyDescent="0.25">
      <c r="A86">
        <v>45</v>
      </c>
      <c r="B86" t="s">
        <v>374</v>
      </c>
      <c r="C86" t="s">
        <v>215</v>
      </c>
      <c r="D86" s="11" t="s">
        <v>425</v>
      </c>
      <c r="E86" s="11" t="s">
        <v>426</v>
      </c>
      <c r="F86" t="s">
        <v>189</v>
      </c>
      <c r="G86" t="s">
        <v>402</v>
      </c>
      <c r="H86" t="s">
        <v>219</v>
      </c>
      <c r="I86" t="s">
        <v>427</v>
      </c>
      <c r="J86" t="s">
        <v>428</v>
      </c>
    </row>
    <row r="87" spans="1:12" x14ac:dyDescent="0.25">
      <c r="A87">
        <v>46</v>
      </c>
      <c r="B87" t="s">
        <v>374</v>
      </c>
      <c r="C87" t="s">
        <v>331</v>
      </c>
      <c r="D87" t="s">
        <v>429</v>
      </c>
      <c r="E87" t="s">
        <v>430</v>
      </c>
      <c r="F87" t="s">
        <v>189</v>
      </c>
      <c r="G87" t="s">
        <v>431</v>
      </c>
      <c r="H87" t="s">
        <v>432</v>
      </c>
      <c r="I87" t="s">
        <v>433</v>
      </c>
      <c r="J87" t="s">
        <v>434</v>
      </c>
    </row>
    <row r="88" spans="1:12" x14ac:dyDescent="0.25">
      <c r="A88">
        <v>47</v>
      </c>
      <c r="B88" t="s">
        <v>374</v>
      </c>
      <c r="C88" t="s">
        <v>435</v>
      </c>
      <c r="D88" t="s">
        <v>436</v>
      </c>
      <c r="E88" t="s">
        <v>437</v>
      </c>
      <c r="F88" t="s">
        <v>189</v>
      </c>
      <c r="G88" t="s">
        <v>438</v>
      </c>
      <c r="H88" t="s">
        <v>191</v>
      </c>
      <c r="I88" t="s">
        <v>439</v>
      </c>
      <c r="J88" t="s">
        <v>440</v>
      </c>
    </row>
    <row r="89" spans="1:12" ht="60" x14ac:dyDescent="0.25">
      <c r="A89">
        <v>48</v>
      </c>
      <c r="B89" t="s">
        <v>374</v>
      </c>
      <c r="C89" t="s">
        <v>201</v>
      </c>
      <c r="D89" s="11" t="s">
        <v>441</v>
      </c>
      <c r="E89" t="s">
        <v>442</v>
      </c>
      <c r="F89" t="s">
        <v>189</v>
      </c>
      <c r="G89" t="s">
        <v>443</v>
      </c>
      <c r="H89" t="s">
        <v>219</v>
      </c>
      <c r="I89" t="s">
        <v>444</v>
      </c>
      <c r="J89" t="s">
        <v>445</v>
      </c>
    </row>
    <row r="90" spans="1:12" x14ac:dyDescent="0.25">
      <c r="A90">
        <v>49</v>
      </c>
      <c r="B90" t="s">
        <v>374</v>
      </c>
      <c r="C90" t="s">
        <v>446</v>
      </c>
      <c r="D90" t="s">
        <v>447</v>
      </c>
      <c r="E90" t="s">
        <v>448</v>
      </c>
      <c r="F90" t="s">
        <v>189</v>
      </c>
      <c r="G90" t="s">
        <v>449</v>
      </c>
      <c r="H90" t="s">
        <v>191</v>
      </c>
      <c r="I90" t="s">
        <v>450</v>
      </c>
      <c r="J90" t="s">
        <v>451</v>
      </c>
    </row>
    <row r="91" spans="1:12" x14ac:dyDescent="0.25">
      <c r="A91">
        <v>50</v>
      </c>
      <c r="B91" t="s">
        <v>374</v>
      </c>
      <c r="C91" t="s">
        <v>331</v>
      </c>
      <c r="D91" t="s">
        <v>452</v>
      </c>
      <c r="E91" t="s">
        <v>453</v>
      </c>
      <c r="F91" t="s">
        <v>189</v>
      </c>
      <c r="G91" t="s">
        <v>454</v>
      </c>
      <c r="H91" t="s">
        <v>251</v>
      </c>
      <c r="I91" t="s">
        <v>455</v>
      </c>
      <c r="J91" t="s">
        <v>456</v>
      </c>
    </row>
    <row r="92" spans="1:12" ht="240" x14ac:dyDescent="0.25">
      <c r="A92">
        <v>51</v>
      </c>
      <c r="B92" t="s">
        <v>374</v>
      </c>
      <c r="C92" t="s">
        <v>331</v>
      </c>
      <c r="D92" t="s">
        <v>457</v>
      </c>
      <c r="E92" t="s">
        <v>458</v>
      </c>
      <c r="F92" t="s">
        <v>189</v>
      </c>
      <c r="G92" t="s">
        <v>459</v>
      </c>
      <c r="H92" t="s">
        <v>219</v>
      </c>
      <c r="I92" s="11" t="s">
        <v>460</v>
      </c>
      <c r="J92" t="s">
        <v>461</v>
      </c>
      <c r="L92" t="s">
        <v>462</v>
      </c>
    </row>
    <row r="93" spans="1:12" x14ac:dyDescent="0.25">
      <c r="A93">
        <v>92</v>
      </c>
      <c r="B93" t="s">
        <v>374</v>
      </c>
      <c r="C93" t="s">
        <v>463</v>
      </c>
      <c r="D93" t="s">
        <v>464</v>
      </c>
      <c r="E93" t="s">
        <v>465</v>
      </c>
      <c r="F93" t="s">
        <v>189</v>
      </c>
      <c r="G93" t="s">
        <v>466</v>
      </c>
      <c r="H93" t="s">
        <v>219</v>
      </c>
      <c r="I93" t="s">
        <v>467</v>
      </c>
      <c r="J93" t="s">
        <v>468</v>
      </c>
    </row>
    <row r="94" spans="1:12" x14ac:dyDescent="0.25">
      <c r="A94">
        <v>93</v>
      </c>
    </row>
    <row r="95" spans="1:12" x14ac:dyDescent="0.25">
      <c r="A95">
        <v>94</v>
      </c>
    </row>
    <row r="96" spans="1:12" x14ac:dyDescent="0.25">
      <c r="A96">
        <v>95</v>
      </c>
    </row>
    <row r="97" spans="1:2" ht="150" x14ac:dyDescent="0.25">
      <c r="A97">
        <v>96</v>
      </c>
      <c r="B97" s="11" t="s">
        <v>469</v>
      </c>
    </row>
    <row r="98" spans="1:2" x14ac:dyDescent="0.25">
      <c r="A98">
        <v>51</v>
      </c>
    </row>
    <row r="99" spans="1:2" x14ac:dyDescent="0.25">
      <c r="A99">
        <v>52</v>
      </c>
    </row>
    <row r="100" spans="1:2" x14ac:dyDescent="0.25">
      <c r="A100">
        <v>53</v>
      </c>
    </row>
    <row r="101" spans="1:2" x14ac:dyDescent="0.25">
      <c r="A101">
        <v>54</v>
      </c>
    </row>
    <row r="102" spans="1:2" x14ac:dyDescent="0.25">
      <c r="A102">
        <v>55</v>
      </c>
    </row>
    <row r="103" spans="1:2" x14ac:dyDescent="0.25">
      <c r="A103">
        <v>56</v>
      </c>
    </row>
    <row r="104" spans="1:2" x14ac:dyDescent="0.25">
      <c r="A104">
        <v>57</v>
      </c>
    </row>
    <row r="105" spans="1:2" x14ac:dyDescent="0.25">
      <c r="A105">
        <v>58</v>
      </c>
    </row>
    <row r="106" spans="1:2" x14ac:dyDescent="0.25">
      <c r="A106">
        <v>59</v>
      </c>
    </row>
    <row r="107" spans="1:2" x14ac:dyDescent="0.25">
      <c r="A107">
        <v>60</v>
      </c>
    </row>
    <row r="108" spans="1:2" x14ac:dyDescent="0.25">
      <c r="A108">
        <v>61</v>
      </c>
    </row>
    <row r="109" spans="1:2" x14ac:dyDescent="0.25">
      <c r="A109">
        <v>62</v>
      </c>
    </row>
    <row r="110" spans="1:2" x14ac:dyDescent="0.25">
      <c r="A110">
        <v>63</v>
      </c>
    </row>
    <row r="111" spans="1:2" x14ac:dyDescent="0.25">
      <c r="A111">
        <v>64</v>
      </c>
    </row>
    <row r="112" spans="1:2" x14ac:dyDescent="0.25">
      <c r="A112">
        <v>65</v>
      </c>
    </row>
    <row r="113" spans="1:10" x14ac:dyDescent="0.25">
      <c r="A113">
        <v>66</v>
      </c>
    </row>
    <row r="114" spans="1:10" x14ac:dyDescent="0.25">
      <c r="A114">
        <v>67</v>
      </c>
    </row>
    <row r="115" spans="1:10" x14ac:dyDescent="0.25">
      <c r="A115">
        <v>68</v>
      </c>
    </row>
    <row r="116" spans="1:10" x14ac:dyDescent="0.25">
      <c r="A116">
        <v>69</v>
      </c>
    </row>
    <row r="117" spans="1:10" x14ac:dyDescent="0.25">
      <c r="A117">
        <v>70</v>
      </c>
    </row>
    <row r="118" spans="1:10" x14ac:dyDescent="0.25">
      <c r="A118">
        <v>71</v>
      </c>
      <c r="B118" t="s">
        <v>374</v>
      </c>
      <c r="C118" t="s">
        <v>463</v>
      </c>
      <c r="D118" t="s">
        <v>470</v>
      </c>
      <c r="E118" t="s">
        <v>471</v>
      </c>
      <c r="F118" t="s">
        <v>472</v>
      </c>
      <c r="G118" t="s">
        <v>473</v>
      </c>
      <c r="I118" t="s">
        <v>474</v>
      </c>
      <c r="J118" t="s">
        <v>475</v>
      </c>
    </row>
    <row r="119" spans="1:10" x14ac:dyDescent="0.25">
      <c r="A119">
        <v>72</v>
      </c>
      <c r="D119" t="s">
        <v>476</v>
      </c>
      <c r="E119" t="s">
        <v>471</v>
      </c>
      <c r="F119" t="s">
        <v>472</v>
      </c>
      <c r="G119" t="s">
        <v>473</v>
      </c>
      <c r="I119" t="s">
        <v>467</v>
      </c>
      <c r="J119" t="s">
        <v>477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7"/>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ht="90" x14ac:dyDescent="0.25">
      <c r="A2">
        <v>1</v>
      </c>
      <c r="B2" t="s">
        <v>478</v>
      </c>
      <c r="C2" t="s">
        <v>215</v>
      </c>
      <c r="D2" t="s">
        <v>479</v>
      </c>
      <c r="E2" t="s">
        <v>480</v>
      </c>
      <c r="F2" t="s">
        <v>189</v>
      </c>
      <c r="G2" t="s">
        <v>481</v>
      </c>
      <c r="H2" t="s">
        <v>482</v>
      </c>
      <c r="I2" s="11" t="s">
        <v>483</v>
      </c>
      <c r="J2" t="s">
        <v>484</v>
      </c>
      <c r="K2" t="s">
        <v>485</v>
      </c>
    </row>
    <row r="3" spans="1:12" x14ac:dyDescent="0.25">
      <c r="A3">
        <v>2</v>
      </c>
      <c r="B3" t="s">
        <v>478</v>
      </c>
      <c r="C3" t="s">
        <v>215</v>
      </c>
      <c r="D3" t="s">
        <v>486</v>
      </c>
      <c r="E3" t="s">
        <v>487</v>
      </c>
      <c r="F3" t="s">
        <v>189</v>
      </c>
      <c r="G3" t="s">
        <v>481</v>
      </c>
      <c r="H3" t="s">
        <v>482</v>
      </c>
      <c r="I3" t="s">
        <v>488</v>
      </c>
      <c r="J3" t="s">
        <v>489</v>
      </c>
      <c r="K3" t="s">
        <v>490</v>
      </c>
    </row>
    <row r="4" spans="1:12" ht="105" x14ac:dyDescent="0.25">
      <c r="A4">
        <v>3</v>
      </c>
      <c r="B4" t="s">
        <v>478</v>
      </c>
      <c r="C4" t="s">
        <v>491</v>
      </c>
      <c r="D4" t="s">
        <v>492</v>
      </c>
      <c r="E4" t="s">
        <v>493</v>
      </c>
      <c r="F4" t="s">
        <v>189</v>
      </c>
      <c r="G4" t="s">
        <v>494</v>
      </c>
      <c r="H4" t="s">
        <v>495</v>
      </c>
      <c r="I4" s="11" t="s">
        <v>496</v>
      </c>
      <c r="J4" t="s">
        <v>497</v>
      </c>
      <c r="K4" t="s">
        <v>498</v>
      </c>
    </row>
    <row r="5" spans="1:12" x14ac:dyDescent="0.25">
      <c r="A5">
        <v>4</v>
      </c>
      <c r="B5" t="s">
        <v>478</v>
      </c>
      <c r="C5" t="s">
        <v>331</v>
      </c>
      <c r="D5" t="s">
        <v>499</v>
      </c>
      <c r="E5" t="s">
        <v>500</v>
      </c>
      <c r="F5" t="s">
        <v>189</v>
      </c>
      <c r="G5" t="s">
        <v>501</v>
      </c>
      <c r="H5" t="s">
        <v>502</v>
      </c>
      <c r="I5" t="s">
        <v>503</v>
      </c>
      <c r="J5" t="s">
        <v>504</v>
      </c>
      <c r="K5" t="s">
        <v>505</v>
      </c>
    </row>
    <row r="6" spans="1:12" x14ac:dyDescent="0.25">
      <c r="A6">
        <v>5</v>
      </c>
      <c r="B6" t="s">
        <v>478</v>
      </c>
      <c r="C6" t="s">
        <v>324</v>
      </c>
      <c r="D6" t="s">
        <v>506</v>
      </c>
      <c r="E6" t="s">
        <v>507</v>
      </c>
      <c r="F6" t="s">
        <v>189</v>
      </c>
      <c r="G6" t="s">
        <v>508</v>
      </c>
      <c r="H6" t="s">
        <v>509</v>
      </c>
      <c r="I6" t="s">
        <v>510</v>
      </c>
      <c r="J6" t="s">
        <v>511</v>
      </c>
      <c r="K6" t="s">
        <v>512</v>
      </c>
    </row>
    <row r="7" spans="1:12" x14ac:dyDescent="0.25">
      <c r="A7">
        <v>6</v>
      </c>
      <c r="B7" t="s">
        <v>478</v>
      </c>
      <c r="C7" t="s">
        <v>324</v>
      </c>
      <c r="D7" t="s">
        <v>513</v>
      </c>
      <c r="E7" t="s">
        <v>514</v>
      </c>
      <c r="F7" t="s">
        <v>189</v>
      </c>
      <c r="G7" t="s">
        <v>515</v>
      </c>
      <c r="H7" t="s">
        <v>516</v>
      </c>
      <c r="I7" t="s">
        <v>517</v>
      </c>
      <c r="J7" t="s">
        <v>518</v>
      </c>
      <c r="K7" t="s">
        <v>519</v>
      </c>
    </row>
    <row r="8" spans="1:12" x14ac:dyDescent="0.25">
      <c r="A8">
        <v>7</v>
      </c>
      <c r="B8" t="s">
        <v>478</v>
      </c>
      <c r="C8" t="s">
        <v>435</v>
      </c>
      <c r="D8" t="s">
        <v>520</v>
      </c>
      <c r="E8" t="s">
        <v>521</v>
      </c>
      <c r="F8" t="s">
        <v>189</v>
      </c>
      <c r="G8" t="s">
        <v>522</v>
      </c>
      <c r="H8" t="s">
        <v>523</v>
      </c>
      <c r="I8" t="s">
        <v>524</v>
      </c>
      <c r="J8" t="s">
        <v>525</v>
      </c>
      <c r="K8" t="s">
        <v>526</v>
      </c>
    </row>
    <row r="9" spans="1:12" ht="180" x14ac:dyDescent="0.25">
      <c r="A9">
        <v>8</v>
      </c>
      <c r="B9" t="s">
        <v>478</v>
      </c>
      <c r="C9" t="s">
        <v>201</v>
      </c>
      <c r="D9" t="s">
        <v>527</v>
      </c>
      <c r="E9" t="s">
        <v>528</v>
      </c>
      <c r="F9" t="s">
        <v>189</v>
      </c>
      <c r="G9" t="s">
        <v>529</v>
      </c>
      <c r="H9" t="s">
        <v>530</v>
      </c>
      <c r="I9" s="11" t="s">
        <v>531</v>
      </c>
      <c r="J9" t="s">
        <v>532</v>
      </c>
      <c r="K9" t="s">
        <v>533</v>
      </c>
    </row>
    <row r="10" spans="1:12" ht="165" x14ac:dyDescent="0.25">
      <c r="A10">
        <v>9</v>
      </c>
      <c r="B10" t="s">
        <v>478</v>
      </c>
      <c r="C10" t="s">
        <v>201</v>
      </c>
      <c r="D10" t="s">
        <v>534</v>
      </c>
      <c r="E10" t="s">
        <v>535</v>
      </c>
      <c r="F10" t="s">
        <v>536</v>
      </c>
      <c r="G10" s="11" t="s">
        <v>537</v>
      </c>
      <c r="J10" t="s">
        <v>538</v>
      </c>
      <c r="K10" t="s">
        <v>539</v>
      </c>
    </row>
    <row r="11" spans="1:12" x14ac:dyDescent="0.25">
      <c r="A11">
        <v>9</v>
      </c>
      <c r="B11" t="s">
        <v>478</v>
      </c>
      <c r="C11" t="s">
        <v>215</v>
      </c>
      <c r="D11" t="s">
        <v>540</v>
      </c>
      <c r="E11" t="s">
        <v>541</v>
      </c>
      <c r="F11" t="s">
        <v>189</v>
      </c>
      <c r="G11" t="s">
        <v>542</v>
      </c>
      <c r="H11" t="s">
        <v>543</v>
      </c>
      <c r="I11" t="s">
        <v>544</v>
      </c>
      <c r="J11" t="s">
        <v>545</v>
      </c>
    </row>
    <row r="12" spans="1:12" ht="45" x14ac:dyDescent="0.25">
      <c r="A12">
        <v>11</v>
      </c>
      <c r="B12" t="s">
        <v>478</v>
      </c>
      <c r="C12" t="s">
        <v>280</v>
      </c>
      <c r="D12" s="11" t="s">
        <v>546</v>
      </c>
      <c r="E12" t="s">
        <v>547</v>
      </c>
      <c r="F12" t="s">
        <v>189</v>
      </c>
      <c r="G12" t="s">
        <v>548</v>
      </c>
      <c r="H12" t="s">
        <v>502</v>
      </c>
      <c r="I12" t="s">
        <v>549</v>
      </c>
      <c r="J12" t="s">
        <v>550</v>
      </c>
    </row>
    <row r="13" spans="1:12" ht="150" x14ac:dyDescent="0.25">
      <c r="A13">
        <v>12</v>
      </c>
      <c r="B13" t="s">
        <v>478</v>
      </c>
      <c r="C13" t="s">
        <v>280</v>
      </c>
      <c r="D13" s="11" t="s">
        <v>551</v>
      </c>
      <c r="E13" t="s">
        <v>552</v>
      </c>
      <c r="F13" t="s">
        <v>189</v>
      </c>
      <c r="G13" t="s">
        <v>553</v>
      </c>
      <c r="H13" t="s">
        <v>502</v>
      </c>
      <c r="I13" s="11" t="s">
        <v>554</v>
      </c>
      <c r="J13" t="s">
        <v>555</v>
      </c>
    </row>
    <row r="14" spans="1:12" ht="120" x14ac:dyDescent="0.25">
      <c r="A14">
        <v>13</v>
      </c>
      <c r="B14" t="s">
        <v>478</v>
      </c>
      <c r="C14" t="s">
        <v>280</v>
      </c>
      <c r="D14" s="11" t="s">
        <v>556</v>
      </c>
      <c r="E14" t="s">
        <v>557</v>
      </c>
      <c r="F14" t="s">
        <v>189</v>
      </c>
      <c r="G14" t="s">
        <v>553</v>
      </c>
      <c r="H14" t="s">
        <v>502</v>
      </c>
      <c r="I14" s="11" t="s">
        <v>558</v>
      </c>
      <c r="J14" t="s">
        <v>559</v>
      </c>
    </row>
    <row r="15" spans="1:12" ht="45" x14ac:dyDescent="0.25">
      <c r="A15">
        <v>14</v>
      </c>
      <c r="B15" t="s">
        <v>478</v>
      </c>
      <c r="C15" t="s">
        <v>280</v>
      </c>
      <c r="D15" s="11" t="s">
        <v>560</v>
      </c>
      <c r="E15" t="s">
        <v>561</v>
      </c>
      <c r="F15" t="s">
        <v>189</v>
      </c>
      <c r="G15" t="s">
        <v>548</v>
      </c>
      <c r="H15" t="s">
        <v>502</v>
      </c>
      <c r="I15" t="s">
        <v>562</v>
      </c>
      <c r="J15" t="s">
        <v>563</v>
      </c>
    </row>
    <row r="16" spans="1:12" ht="75" x14ac:dyDescent="0.25">
      <c r="A16">
        <v>15</v>
      </c>
      <c r="B16" t="s">
        <v>478</v>
      </c>
      <c r="C16" t="s">
        <v>564</v>
      </c>
      <c r="D16" s="11" t="s">
        <v>565</v>
      </c>
      <c r="E16" t="s">
        <v>115</v>
      </c>
      <c r="F16" t="s">
        <v>189</v>
      </c>
      <c r="G16" t="s">
        <v>566</v>
      </c>
      <c r="H16" t="s">
        <v>502</v>
      </c>
      <c r="I16" t="s">
        <v>567</v>
      </c>
      <c r="J16" t="s">
        <v>568</v>
      </c>
    </row>
    <row r="17" spans="1:11" x14ac:dyDescent="0.25">
      <c r="A17">
        <v>10</v>
      </c>
      <c r="B17" t="s">
        <v>478</v>
      </c>
      <c r="C17" t="s">
        <v>215</v>
      </c>
      <c r="D17" t="s">
        <v>569</v>
      </c>
      <c r="E17" t="s">
        <v>570</v>
      </c>
      <c r="F17" t="s">
        <v>189</v>
      </c>
      <c r="G17" t="s">
        <v>571</v>
      </c>
      <c r="H17" t="s">
        <v>502</v>
      </c>
      <c r="I17" t="s">
        <v>572</v>
      </c>
      <c r="J17" t="s">
        <v>573</v>
      </c>
      <c r="K17" t="s">
        <v>574</v>
      </c>
    </row>
    <row r="18" spans="1:11" x14ac:dyDescent="0.25">
      <c r="A18">
        <v>11</v>
      </c>
      <c r="B18" t="s">
        <v>478</v>
      </c>
      <c r="C18" t="s">
        <v>259</v>
      </c>
      <c r="D18" t="s">
        <v>575</v>
      </c>
      <c r="E18" t="s">
        <v>576</v>
      </c>
      <c r="F18" t="s">
        <v>189</v>
      </c>
      <c r="G18" t="s">
        <v>577</v>
      </c>
      <c r="H18" t="s">
        <v>578</v>
      </c>
      <c r="I18" t="s">
        <v>579</v>
      </c>
      <c r="J18" t="s">
        <v>580</v>
      </c>
      <c r="K18" t="s">
        <v>581</v>
      </c>
    </row>
    <row r="19" spans="1:11" ht="105" x14ac:dyDescent="0.25">
      <c r="A19">
        <v>12</v>
      </c>
      <c r="B19" t="s">
        <v>478</v>
      </c>
      <c r="C19" t="s">
        <v>564</v>
      </c>
      <c r="D19" t="s">
        <v>582</v>
      </c>
      <c r="E19" t="s">
        <v>583</v>
      </c>
      <c r="F19" t="s">
        <v>189</v>
      </c>
      <c r="G19" s="11" t="s">
        <v>584</v>
      </c>
      <c r="H19" t="s">
        <v>502</v>
      </c>
      <c r="I19" t="s">
        <v>585</v>
      </c>
      <c r="J19" t="s">
        <v>586</v>
      </c>
      <c r="K19" t="s">
        <v>587</v>
      </c>
    </row>
    <row r="20" spans="1:11" x14ac:dyDescent="0.25">
      <c r="A20">
        <v>13</v>
      </c>
      <c r="B20" t="s">
        <v>478</v>
      </c>
      <c r="C20" t="s">
        <v>215</v>
      </c>
      <c r="D20" t="s">
        <v>588</v>
      </c>
      <c r="E20" t="s">
        <v>127</v>
      </c>
      <c r="F20" t="s">
        <v>189</v>
      </c>
      <c r="G20" t="s">
        <v>589</v>
      </c>
      <c r="H20" t="s">
        <v>590</v>
      </c>
      <c r="I20" t="s">
        <v>591</v>
      </c>
      <c r="J20" t="s">
        <v>592</v>
      </c>
      <c r="K20" t="s">
        <v>593</v>
      </c>
    </row>
    <row r="21" spans="1:11" ht="60" x14ac:dyDescent="0.25">
      <c r="A21">
        <v>14</v>
      </c>
      <c r="B21" t="s">
        <v>478</v>
      </c>
      <c r="C21" t="s">
        <v>594</v>
      </c>
      <c r="D21" s="11" t="s">
        <v>595</v>
      </c>
      <c r="E21" t="s">
        <v>596</v>
      </c>
      <c r="F21" t="s">
        <v>189</v>
      </c>
      <c r="G21" t="s">
        <v>597</v>
      </c>
      <c r="H21" t="s">
        <v>219</v>
      </c>
      <c r="I21" t="s">
        <v>598</v>
      </c>
      <c r="J21" t="s">
        <v>599</v>
      </c>
      <c r="K21" t="s">
        <v>600</v>
      </c>
    </row>
    <row r="22" spans="1:11" x14ac:dyDescent="0.25">
      <c r="A22">
        <v>15</v>
      </c>
      <c r="B22" t="s">
        <v>478</v>
      </c>
      <c r="C22" t="s">
        <v>601</v>
      </c>
      <c r="D22" t="s">
        <v>602</v>
      </c>
      <c r="E22" t="s">
        <v>603</v>
      </c>
      <c r="F22" t="s">
        <v>189</v>
      </c>
      <c r="G22" t="s">
        <v>597</v>
      </c>
      <c r="H22" t="s">
        <v>219</v>
      </c>
      <c r="I22" t="s">
        <v>604</v>
      </c>
      <c r="J22" t="s">
        <v>605</v>
      </c>
    </row>
    <row r="23" spans="1:11" x14ac:dyDescent="0.25">
      <c r="A23">
        <v>16</v>
      </c>
      <c r="B23" t="s">
        <v>478</v>
      </c>
      <c r="C23" t="s">
        <v>215</v>
      </c>
      <c r="D23" t="s">
        <v>606</v>
      </c>
      <c r="E23" t="s">
        <v>607</v>
      </c>
      <c r="F23" t="s">
        <v>189</v>
      </c>
      <c r="G23" t="s">
        <v>608</v>
      </c>
      <c r="H23" t="s">
        <v>219</v>
      </c>
      <c r="I23" t="s">
        <v>609</v>
      </c>
      <c r="J23" t="s">
        <v>610</v>
      </c>
    </row>
    <row r="24" spans="1:11" ht="60" x14ac:dyDescent="0.25">
      <c r="A24">
        <v>17</v>
      </c>
      <c r="B24" t="s">
        <v>478</v>
      </c>
      <c r="C24" t="s">
        <v>194</v>
      </c>
      <c r="D24" s="11" t="s">
        <v>611</v>
      </c>
      <c r="E24" t="s">
        <v>612</v>
      </c>
      <c r="F24" t="s">
        <v>189</v>
      </c>
      <c r="G24" t="s">
        <v>597</v>
      </c>
      <c r="H24" t="s">
        <v>219</v>
      </c>
      <c r="I24" t="s">
        <v>613</v>
      </c>
      <c r="J24" t="s">
        <v>614</v>
      </c>
    </row>
    <row r="25" spans="1:11" x14ac:dyDescent="0.25">
      <c r="A25">
        <v>18</v>
      </c>
      <c r="B25" t="s">
        <v>615</v>
      </c>
      <c r="C25" t="s">
        <v>324</v>
      </c>
      <c r="D25" t="s">
        <v>616</v>
      </c>
      <c r="E25" t="s">
        <v>617</v>
      </c>
      <c r="F25" t="s">
        <v>189</v>
      </c>
      <c r="G25" t="s">
        <v>618</v>
      </c>
      <c r="H25" t="s">
        <v>619</v>
      </c>
      <c r="I25" t="s">
        <v>620</v>
      </c>
      <c r="J25" t="s">
        <v>621</v>
      </c>
    </row>
    <row r="26" spans="1:11" x14ac:dyDescent="0.25">
      <c r="A26">
        <v>19</v>
      </c>
      <c r="B26" t="s">
        <v>615</v>
      </c>
      <c r="C26" t="s">
        <v>201</v>
      </c>
      <c r="D26" t="s">
        <v>622</v>
      </c>
      <c r="E26" t="s">
        <v>623</v>
      </c>
      <c r="F26" t="s">
        <v>189</v>
      </c>
      <c r="G26" t="s">
        <v>624</v>
      </c>
      <c r="H26" t="s">
        <v>625</v>
      </c>
      <c r="I26" t="s">
        <v>626</v>
      </c>
      <c r="J26" t="s">
        <v>627</v>
      </c>
    </row>
    <row r="27" spans="1:11" x14ac:dyDescent="0.25">
      <c r="A27">
        <v>20</v>
      </c>
      <c r="B27" t="s">
        <v>615</v>
      </c>
      <c r="C27" t="s">
        <v>324</v>
      </c>
      <c r="D27" t="s">
        <v>628</v>
      </c>
      <c r="E27" t="s">
        <v>617</v>
      </c>
      <c r="F27" t="s">
        <v>189</v>
      </c>
      <c r="G27" t="s">
        <v>629</v>
      </c>
      <c r="H27" t="s">
        <v>619</v>
      </c>
      <c r="I27" t="s">
        <v>630</v>
      </c>
      <c r="J27" t="s">
        <v>631</v>
      </c>
    </row>
    <row r="28" spans="1:11" x14ac:dyDescent="0.25">
      <c r="A28">
        <v>21</v>
      </c>
      <c r="B28" t="s">
        <v>615</v>
      </c>
      <c r="C28" t="s">
        <v>201</v>
      </c>
      <c r="D28" t="s">
        <v>632</v>
      </c>
      <c r="E28" t="s">
        <v>633</v>
      </c>
      <c r="F28" t="s">
        <v>189</v>
      </c>
      <c r="G28" t="s">
        <v>634</v>
      </c>
      <c r="H28" t="s">
        <v>635</v>
      </c>
      <c r="I28" t="s">
        <v>636</v>
      </c>
      <c r="J28" t="s">
        <v>637</v>
      </c>
    </row>
    <row r="29" spans="1:11" x14ac:dyDescent="0.25">
      <c r="A29">
        <v>22</v>
      </c>
      <c r="B29" t="s">
        <v>478</v>
      </c>
      <c r="C29" t="s">
        <v>319</v>
      </c>
      <c r="D29" t="s">
        <v>638</v>
      </c>
      <c r="E29" t="s">
        <v>639</v>
      </c>
      <c r="F29" t="s">
        <v>189</v>
      </c>
      <c r="G29" t="s">
        <v>640</v>
      </c>
      <c r="H29" t="s">
        <v>619</v>
      </c>
      <c r="I29" t="s">
        <v>641</v>
      </c>
      <c r="J29" t="s">
        <v>642</v>
      </c>
    </row>
    <row r="30" spans="1:11" x14ac:dyDescent="0.25">
      <c r="A30">
        <v>23</v>
      </c>
      <c r="B30" t="s">
        <v>615</v>
      </c>
      <c r="C30" t="s">
        <v>194</v>
      </c>
      <c r="D30" t="s">
        <v>643</v>
      </c>
      <c r="E30" t="s">
        <v>644</v>
      </c>
      <c r="F30" t="s">
        <v>189</v>
      </c>
      <c r="G30" t="s">
        <v>645</v>
      </c>
      <c r="H30" t="s">
        <v>646</v>
      </c>
      <c r="I30" t="s">
        <v>647</v>
      </c>
      <c r="J30" t="s">
        <v>648</v>
      </c>
    </row>
    <row r="31" spans="1:11" ht="120" x14ac:dyDescent="0.25">
      <c r="A31">
        <v>24</v>
      </c>
      <c r="B31" t="s">
        <v>478</v>
      </c>
      <c r="C31" t="s">
        <v>649</v>
      </c>
      <c r="D31" t="s">
        <v>650</v>
      </c>
      <c r="E31" s="11" t="s">
        <v>651</v>
      </c>
      <c r="F31" t="s">
        <v>189</v>
      </c>
      <c r="G31" t="s">
        <v>652</v>
      </c>
      <c r="H31" t="s">
        <v>619</v>
      </c>
      <c r="I31" t="s">
        <v>653</v>
      </c>
      <c r="J31" t="s">
        <v>654</v>
      </c>
    </row>
    <row r="32" spans="1:11" x14ac:dyDescent="0.25">
      <c r="A32">
        <v>25</v>
      </c>
      <c r="B32" t="s">
        <v>615</v>
      </c>
      <c r="C32" t="s">
        <v>232</v>
      </c>
      <c r="D32" t="s">
        <v>655</v>
      </c>
      <c r="E32" t="s">
        <v>656</v>
      </c>
      <c r="F32" t="s">
        <v>189</v>
      </c>
      <c r="G32" t="s">
        <v>657</v>
      </c>
      <c r="H32" t="s">
        <v>619</v>
      </c>
      <c r="I32" t="s">
        <v>658</v>
      </c>
      <c r="J32" t="s">
        <v>659</v>
      </c>
    </row>
    <row r="33" spans="1:10" x14ac:dyDescent="0.25">
      <c r="A33">
        <v>26</v>
      </c>
      <c r="B33" t="s">
        <v>615</v>
      </c>
      <c r="C33" t="s">
        <v>215</v>
      </c>
      <c r="D33" t="s">
        <v>660</v>
      </c>
      <c r="E33" t="s">
        <v>661</v>
      </c>
      <c r="F33" t="s">
        <v>189</v>
      </c>
      <c r="G33" t="s">
        <v>662</v>
      </c>
      <c r="H33" t="s">
        <v>619</v>
      </c>
      <c r="I33" t="s">
        <v>663</v>
      </c>
      <c r="J33" t="s">
        <v>664</v>
      </c>
    </row>
    <row r="34" spans="1:10" x14ac:dyDescent="0.25">
      <c r="A34">
        <v>27</v>
      </c>
      <c r="B34" t="s">
        <v>615</v>
      </c>
      <c r="C34" t="s">
        <v>215</v>
      </c>
      <c r="D34" t="s">
        <v>665</v>
      </c>
      <c r="E34" t="s">
        <v>666</v>
      </c>
      <c r="F34" t="s">
        <v>189</v>
      </c>
      <c r="G34" t="s">
        <v>667</v>
      </c>
      <c r="H34" t="s">
        <v>668</v>
      </c>
      <c r="I34" t="s">
        <v>669</v>
      </c>
      <c r="J34" t="s">
        <v>670</v>
      </c>
    </row>
    <row r="35" spans="1:10" x14ac:dyDescent="0.25">
      <c r="A35">
        <v>28</v>
      </c>
      <c r="B35" t="s">
        <v>615</v>
      </c>
      <c r="C35" t="s">
        <v>215</v>
      </c>
      <c r="D35" t="s">
        <v>671</v>
      </c>
      <c r="E35" t="s">
        <v>672</v>
      </c>
      <c r="F35" t="s">
        <v>189</v>
      </c>
      <c r="G35" t="s">
        <v>673</v>
      </c>
      <c r="H35" t="s">
        <v>619</v>
      </c>
      <c r="I35" t="s">
        <v>674</v>
      </c>
      <c r="J35" t="s">
        <v>675</v>
      </c>
    </row>
    <row r="36" spans="1:10" ht="60" x14ac:dyDescent="0.25">
      <c r="A36">
        <v>29</v>
      </c>
      <c r="B36" t="s">
        <v>478</v>
      </c>
      <c r="D36" s="11" t="s">
        <v>676</v>
      </c>
      <c r="E36" t="s">
        <v>677</v>
      </c>
      <c r="F36" t="s">
        <v>189</v>
      </c>
      <c r="G36" t="s">
        <v>678</v>
      </c>
      <c r="H36" t="s">
        <v>668</v>
      </c>
      <c r="I36" t="s">
        <v>679</v>
      </c>
      <c r="J36" t="s">
        <v>680</v>
      </c>
    </row>
    <row r="37" spans="1:10" x14ac:dyDescent="0.25">
      <c r="A37">
        <v>30</v>
      </c>
      <c r="B37" t="s">
        <v>615</v>
      </c>
      <c r="C37" t="s">
        <v>215</v>
      </c>
      <c r="D37" t="s">
        <v>681</v>
      </c>
      <c r="E37" t="s">
        <v>682</v>
      </c>
      <c r="F37" t="s">
        <v>189</v>
      </c>
      <c r="G37" t="s">
        <v>683</v>
      </c>
      <c r="H37" t="s">
        <v>619</v>
      </c>
      <c r="I37" t="s">
        <v>684</v>
      </c>
      <c r="J37" t="s">
        <v>685</v>
      </c>
    </row>
    <row r="38" spans="1:10" ht="120" x14ac:dyDescent="0.25">
      <c r="A38">
        <v>31</v>
      </c>
      <c r="B38" t="s">
        <v>615</v>
      </c>
      <c r="C38" t="s">
        <v>215</v>
      </c>
      <c r="D38" t="s">
        <v>686</v>
      </c>
      <c r="E38" t="s">
        <v>687</v>
      </c>
      <c r="F38" t="s">
        <v>189</v>
      </c>
      <c r="G38" s="11" t="s">
        <v>688</v>
      </c>
      <c r="H38" t="s">
        <v>619</v>
      </c>
      <c r="I38" t="s">
        <v>689</v>
      </c>
      <c r="J38" t="s">
        <v>690</v>
      </c>
    </row>
    <row r="39" spans="1:10" x14ac:dyDescent="0.25">
      <c r="A39">
        <v>32</v>
      </c>
      <c r="B39" t="s">
        <v>478</v>
      </c>
      <c r="C39" t="s">
        <v>232</v>
      </c>
      <c r="D39" t="s">
        <v>691</v>
      </c>
      <c r="E39" t="s">
        <v>109</v>
      </c>
      <c r="F39" t="s">
        <v>189</v>
      </c>
      <c r="G39" t="s">
        <v>692</v>
      </c>
      <c r="H39" t="s">
        <v>619</v>
      </c>
      <c r="I39" t="s">
        <v>693</v>
      </c>
      <c r="J39" t="s">
        <v>694</v>
      </c>
    </row>
    <row r="40" spans="1:10" x14ac:dyDescent="0.25">
      <c r="A40">
        <v>33</v>
      </c>
      <c r="B40" t="s">
        <v>615</v>
      </c>
      <c r="C40" t="s">
        <v>435</v>
      </c>
      <c r="D40" t="s">
        <v>695</v>
      </c>
      <c r="E40" t="s">
        <v>437</v>
      </c>
      <c r="F40" t="s">
        <v>189</v>
      </c>
      <c r="G40" t="s">
        <v>696</v>
      </c>
      <c r="H40" t="s">
        <v>697</v>
      </c>
      <c r="I40" t="s">
        <v>698</v>
      </c>
      <c r="J40" t="s">
        <v>699</v>
      </c>
    </row>
    <row r="41" spans="1:10" x14ac:dyDescent="0.25">
      <c r="A41">
        <v>34</v>
      </c>
      <c r="B41" t="s">
        <v>615</v>
      </c>
      <c r="C41" t="s">
        <v>215</v>
      </c>
      <c r="D41" t="s">
        <v>700</v>
      </c>
      <c r="E41" t="s">
        <v>701</v>
      </c>
      <c r="F41" t="s">
        <v>189</v>
      </c>
      <c r="G41" t="s">
        <v>702</v>
      </c>
      <c r="H41" t="s">
        <v>619</v>
      </c>
      <c r="I41" t="s">
        <v>703</v>
      </c>
      <c r="J41" t="s">
        <v>704</v>
      </c>
    </row>
    <row r="42" spans="1:10" ht="75" x14ac:dyDescent="0.25">
      <c r="A42">
        <v>35</v>
      </c>
      <c r="B42" t="s">
        <v>615</v>
      </c>
      <c r="C42" t="s">
        <v>319</v>
      </c>
      <c r="D42" t="s">
        <v>705</v>
      </c>
      <c r="E42" t="s">
        <v>706</v>
      </c>
      <c r="F42" t="s">
        <v>189</v>
      </c>
      <c r="G42" t="s">
        <v>707</v>
      </c>
      <c r="H42" t="s">
        <v>708</v>
      </c>
      <c r="I42" t="s">
        <v>709</v>
      </c>
      <c r="J42" s="11" t="s">
        <v>710</v>
      </c>
    </row>
    <row r="43" spans="1:10" x14ac:dyDescent="0.25">
      <c r="A43">
        <v>36</v>
      </c>
      <c r="B43" t="s">
        <v>615</v>
      </c>
      <c r="C43" t="s">
        <v>324</v>
      </c>
      <c r="D43" t="s">
        <v>711</v>
      </c>
      <c r="E43" t="s">
        <v>712</v>
      </c>
      <c r="F43" t="s">
        <v>189</v>
      </c>
      <c r="G43" t="s">
        <v>713</v>
      </c>
      <c r="H43" t="s">
        <v>714</v>
      </c>
      <c r="I43" t="s">
        <v>715</v>
      </c>
      <c r="J43" t="s">
        <v>716</v>
      </c>
    </row>
    <row r="44" spans="1:10" x14ac:dyDescent="0.25">
      <c r="A44">
        <v>37</v>
      </c>
      <c r="B44" t="s">
        <v>615</v>
      </c>
      <c r="C44" t="s">
        <v>194</v>
      </c>
      <c r="D44" t="s">
        <v>717</v>
      </c>
      <c r="E44" t="s">
        <v>718</v>
      </c>
      <c r="F44" t="s">
        <v>189</v>
      </c>
      <c r="G44" t="s">
        <v>719</v>
      </c>
      <c r="H44" t="s">
        <v>619</v>
      </c>
      <c r="I44" t="s">
        <v>720</v>
      </c>
      <c r="J44" t="s">
        <v>721</v>
      </c>
    </row>
    <row r="45" spans="1:10" ht="150" x14ac:dyDescent="0.25">
      <c r="A45">
        <v>38</v>
      </c>
      <c r="B45" t="s">
        <v>478</v>
      </c>
      <c r="C45" t="s">
        <v>215</v>
      </c>
      <c r="D45" s="11" t="s">
        <v>722</v>
      </c>
      <c r="E45" s="11" t="s">
        <v>723</v>
      </c>
      <c r="F45" t="s">
        <v>189</v>
      </c>
      <c r="G45" t="s">
        <v>724</v>
      </c>
      <c r="H45" t="s">
        <v>619</v>
      </c>
      <c r="I45" s="11" t="s">
        <v>725</v>
      </c>
      <c r="J45" t="s">
        <v>726</v>
      </c>
    </row>
    <row r="46" spans="1:10" ht="105" x14ac:dyDescent="0.25">
      <c r="A46">
        <v>39</v>
      </c>
      <c r="B46" t="s">
        <v>615</v>
      </c>
      <c r="C46" t="s">
        <v>201</v>
      </c>
      <c r="D46" t="s">
        <v>202</v>
      </c>
      <c r="E46" t="s">
        <v>203</v>
      </c>
      <c r="F46" t="s">
        <v>189</v>
      </c>
      <c r="G46" t="s">
        <v>727</v>
      </c>
      <c r="H46" t="s">
        <v>728</v>
      </c>
      <c r="I46" s="11" t="s">
        <v>729</v>
      </c>
      <c r="J46" t="s">
        <v>207</v>
      </c>
    </row>
    <row r="47" spans="1:10" ht="60" x14ac:dyDescent="0.25">
      <c r="A47">
        <v>40</v>
      </c>
      <c r="B47" t="s">
        <v>615</v>
      </c>
      <c r="C47" t="s">
        <v>215</v>
      </c>
      <c r="D47" s="11" t="s">
        <v>730</v>
      </c>
      <c r="E47" s="11" t="s">
        <v>731</v>
      </c>
      <c r="F47" t="s">
        <v>189</v>
      </c>
      <c r="G47" t="s">
        <v>732</v>
      </c>
      <c r="H47" s="11" t="s">
        <v>733</v>
      </c>
      <c r="I47" t="s">
        <v>734</v>
      </c>
      <c r="J47" t="s">
        <v>735</v>
      </c>
    </row>
    <row r="48" spans="1:10" x14ac:dyDescent="0.25">
      <c r="A48">
        <v>41</v>
      </c>
      <c r="B48" t="s">
        <v>615</v>
      </c>
      <c r="C48" t="s">
        <v>331</v>
      </c>
      <c r="D48" t="s">
        <v>736</v>
      </c>
      <c r="E48" t="s">
        <v>737</v>
      </c>
      <c r="F48" t="s">
        <v>189</v>
      </c>
      <c r="G48" t="s">
        <v>738</v>
      </c>
      <c r="H48" t="s">
        <v>619</v>
      </c>
      <c r="I48" t="s">
        <v>739</v>
      </c>
      <c r="J48" t="s">
        <v>740</v>
      </c>
    </row>
    <row r="49" spans="1:10" ht="60" x14ac:dyDescent="0.25">
      <c r="A49">
        <v>42</v>
      </c>
      <c r="B49" t="s">
        <v>615</v>
      </c>
      <c r="C49" t="s">
        <v>259</v>
      </c>
      <c r="D49" t="s">
        <v>741</v>
      </c>
      <c r="E49" s="11" t="s">
        <v>742</v>
      </c>
      <c r="F49" t="s">
        <v>189</v>
      </c>
      <c r="G49" t="s">
        <v>743</v>
      </c>
      <c r="H49" t="s">
        <v>744</v>
      </c>
      <c r="J49" t="s">
        <v>745</v>
      </c>
    </row>
    <row r="50" spans="1:10" ht="45" x14ac:dyDescent="0.25">
      <c r="A50">
        <v>43</v>
      </c>
      <c r="B50" t="s">
        <v>615</v>
      </c>
      <c r="C50" t="s">
        <v>201</v>
      </c>
      <c r="D50" t="s">
        <v>746</v>
      </c>
      <c r="E50" t="s">
        <v>747</v>
      </c>
      <c r="F50" t="s">
        <v>189</v>
      </c>
      <c r="G50" s="11" t="s">
        <v>748</v>
      </c>
      <c r="H50" t="s">
        <v>749</v>
      </c>
      <c r="I50" t="s">
        <v>750</v>
      </c>
      <c r="J50" t="s">
        <v>751</v>
      </c>
    </row>
    <row r="51" spans="1:10" ht="90" x14ac:dyDescent="0.25">
      <c r="A51">
        <v>44</v>
      </c>
      <c r="B51" t="s">
        <v>478</v>
      </c>
      <c r="C51" t="s">
        <v>215</v>
      </c>
      <c r="D51" s="11" t="s">
        <v>752</v>
      </c>
      <c r="E51" t="s">
        <v>753</v>
      </c>
      <c r="F51" t="s">
        <v>189</v>
      </c>
      <c r="G51" s="11" t="s">
        <v>754</v>
      </c>
      <c r="H51" t="s">
        <v>619</v>
      </c>
      <c r="I51" t="s">
        <v>755</v>
      </c>
      <c r="J51" t="s">
        <v>756</v>
      </c>
    </row>
    <row r="52" spans="1:10" ht="180" x14ac:dyDescent="0.25">
      <c r="A52">
        <v>45</v>
      </c>
      <c r="B52" t="s">
        <v>615</v>
      </c>
      <c r="C52" t="s">
        <v>757</v>
      </c>
      <c r="D52" s="11" t="s">
        <v>758</v>
      </c>
      <c r="E52" t="s">
        <v>759</v>
      </c>
      <c r="F52" t="s">
        <v>189</v>
      </c>
      <c r="G52" t="s">
        <v>760</v>
      </c>
      <c r="H52" t="s">
        <v>761</v>
      </c>
      <c r="I52" s="11" t="s">
        <v>762</v>
      </c>
      <c r="J52" t="s">
        <v>763</v>
      </c>
    </row>
    <row r="53" spans="1:10" ht="90" x14ac:dyDescent="0.25">
      <c r="A53">
        <v>46</v>
      </c>
      <c r="B53" t="s">
        <v>478</v>
      </c>
      <c r="C53" t="s">
        <v>259</v>
      </c>
      <c r="D53" t="s">
        <v>764</v>
      </c>
      <c r="E53" t="s">
        <v>765</v>
      </c>
      <c r="F53" t="s">
        <v>189</v>
      </c>
      <c r="G53" t="s">
        <v>766</v>
      </c>
      <c r="H53" t="s">
        <v>767</v>
      </c>
      <c r="I53" s="11" t="s">
        <v>768</v>
      </c>
      <c r="J53" t="s">
        <v>769</v>
      </c>
    </row>
    <row r="54" spans="1:10" ht="150" x14ac:dyDescent="0.25">
      <c r="A54">
        <v>47</v>
      </c>
      <c r="B54" t="s">
        <v>615</v>
      </c>
      <c r="C54" t="s">
        <v>201</v>
      </c>
      <c r="D54" t="s">
        <v>770</v>
      </c>
      <c r="E54" t="s">
        <v>771</v>
      </c>
      <c r="F54" t="s">
        <v>189</v>
      </c>
      <c r="G54" t="s">
        <v>772</v>
      </c>
      <c r="H54" t="s">
        <v>773</v>
      </c>
      <c r="I54" s="11" t="s">
        <v>774</v>
      </c>
      <c r="J54" t="s">
        <v>775</v>
      </c>
    </row>
    <row r="55" spans="1:10" x14ac:dyDescent="0.25">
      <c r="A55">
        <v>48</v>
      </c>
      <c r="B55" t="s">
        <v>615</v>
      </c>
      <c r="C55" t="s">
        <v>215</v>
      </c>
      <c r="D55" t="s">
        <v>776</v>
      </c>
      <c r="E55" t="s">
        <v>777</v>
      </c>
      <c r="F55" t="s">
        <v>189</v>
      </c>
      <c r="G55" t="s">
        <v>778</v>
      </c>
      <c r="H55" t="s">
        <v>779</v>
      </c>
      <c r="I55" t="s">
        <v>780</v>
      </c>
      <c r="J55" t="s">
        <v>781</v>
      </c>
    </row>
    <row r="56" spans="1:10" x14ac:dyDescent="0.25">
      <c r="A56">
        <v>49</v>
      </c>
      <c r="B56" t="s">
        <v>615</v>
      </c>
      <c r="C56" t="s">
        <v>201</v>
      </c>
      <c r="D56" t="s">
        <v>782</v>
      </c>
      <c r="E56" t="s">
        <v>783</v>
      </c>
      <c r="F56" t="s">
        <v>189</v>
      </c>
      <c r="G56" t="s">
        <v>784</v>
      </c>
      <c r="H56" t="s">
        <v>785</v>
      </c>
      <c r="I56" t="s">
        <v>786</v>
      </c>
      <c r="J56" t="s">
        <v>787</v>
      </c>
    </row>
    <row r="57" spans="1:10" x14ac:dyDescent="0.25">
      <c r="A57">
        <v>50</v>
      </c>
      <c r="B57" t="s">
        <v>615</v>
      </c>
      <c r="C57" t="s">
        <v>201</v>
      </c>
      <c r="D57" t="s">
        <v>788</v>
      </c>
      <c r="E57" t="s">
        <v>789</v>
      </c>
      <c r="F57" t="s">
        <v>189</v>
      </c>
      <c r="G57" t="s">
        <v>784</v>
      </c>
      <c r="H57" t="s">
        <v>785</v>
      </c>
      <c r="I57" t="s">
        <v>790</v>
      </c>
      <c r="J57" t="s">
        <v>791</v>
      </c>
    </row>
    <row r="58" spans="1:10" x14ac:dyDescent="0.25">
      <c r="A58">
        <v>51</v>
      </c>
      <c r="B58" t="s">
        <v>615</v>
      </c>
      <c r="C58" t="s">
        <v>201</v>
      </c>
      <c r="D58" t="s">
        <v>792</v>
      </c>
      <c r="E58" t="s">
        <v>793</v>
      </c>
      <c r="F58" t="s">
        <v>189</v>
      </c>
      <c r="G58" t="s">
        <v>784</v>
      </c>
      <c r="H58" t="s">
        <v>785</v>
      </c>
      <c r="I58" t="s">
        <v>794</v>
      </c>
      <c r="J58" t="s">
        <v>795</v>
      </c>
    </row>
    <row r="59" spans="1:10" x14ac:dyDescent="0.25">
      <c r="A59">
        <v>52</v>
      </c>
      <c r="B59" t="s">
        <v>615</v>
      </c>
      <c r="C59" t="s">
        <v>194</v>
      </c>
      <c r="D59" t="s">
        <v>796</v>
      </c>
      <c r="E59" t="s">
        <v>797</v>
      </c>
      <c r="F59" t="s">
        <v>189</v>
      </c>
      <c r="G59" t="s">
        <v>597</v>
      </c>
      <c r="H59" t="s">
        <v>219</v>
      </c>
      <c r="I59" t="s">
        <v>798</v>
      </c>
      <c r="J59" t="s">
        <v>799</v>
      </c>
    </row>
    <row r="60" spans="1:10" x14ac:dyDescent="0.25">
      <c r="A60">
        <v>53</v>
      </c>
      <c r="B60" t="s">
        <v>615</v>
      </c>
      <c r="C60" t="s">
        <v>331</v>
      </c>
      <c r="D60" t="s">
        <v>800</v>
      </c>
      <c r="E60" t="s">
        <v>801</v>
      </c>
      <c r="F60" t="s">
        <v>189</v>
      </c>
      <c r="G60" t="s">
        <v>597</v>
      </c>
      <c r="H60" t="s">
        <v>219</v>
      </c>
      <c r="I60" t="s">
        <v>802</v>
      </c>
      <c r="J60" t="s">
        <v>803</v>
      </c>
    </row>
    <row r="61" spans="1:10" x14ac:dyDescent="0.25">
      <c r="A61">
        <v>60</v>
      </c>
    </row>
    <row r="62" spans="1:10" x14ac:dyDescent="0.25">
      <c r="A62">
        <v>61</v>
      </c>
      <c r="C62" t="s">
        <v>804</v>
      </c>
      <c r="D62" t="s">
        <v>805</v>
      </c>
      <c r="E62" t="s">
        <v>806</v>
      </c>
    </row>
    <row r="63" spans="1:10" x14ac:dyDescent="0.25">
      <c r="A63">
        <v>62</v>
      </c>
      <c r="D63" t="s">
        <v>807</v>
      </c>
      <c r="E63" t="s">
        <v>808</v>
      </c>
    </row>
    <row r="64" spans="1:10" x14ac:dyDescent="0.25">
      <c r="A64">
        <v>63</v>
      </c>
    </row>
    <row r="65" spans="1:7" x14ac:dyDescent="0.25">
      <c r="A65">
        <v>64</v>
      </c>
    </row>
    <row r="66" spans="1:7" x14ac:dyDescent="0.25">
      <c r="A66">
        <v>65</v>
      </c>
    </row>
    <row r="67" spans="1:7" x14ac:dyDescent="0.25">
      <c r="A67">
        <v>66</v>
      </c>
      <c r="G67" t="s">
        <v>809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6"/>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x14ac:dyDescent="0.25">
      <c r="A2">
        <v>1</v>
      </c>
      <c r="B2" t="s">
        <v>810</v>
      </c>
      <c r="C2" t="s">
        <v>215</v>
      </c>
      <c r="D2" t="s">
        <v>811</v>
      </c>
      <c r="E2" t="s">
        <v>812</v>
      </c>
      <c r="F2" t="s">
        <v>189</v>
      </c>
      <c r="G2" t="s">
        <v>813</v>
      </c>
      <c r="H2" t="s">
        <v>814</v>
      </c>
      <c r="I2" t="s">
        <v>815</v>
      </c>
      <c r="J2" t="s">
        <v>816</v>
      </c>
    </row>
    <row r="3" spans="1:12" ht="150" x14ac:dyDescent="0.25">
      <c r="A3">
        <v>2</v>
      </c>
      <c r="B3" t="s">
        <v>810</v>
      </c>
      <c r="C3" t="s">
        <v>817</v>
      </c>
      <c r="D3" s="11" t="s">
        <v>818</v>
      </c>
      <c r="E3" t="s">
        <v>819</v>
      </c>
      <c r="F3" t="s">
        <v>189</v>
      </c>
      <c r="G3" t="s">
        <v>820</v>
      </c>
      <c r="H3" t="s">
        <v>328</v>
      </c>
      <c r="I3" s="11" t="s">
        <v>821</v>
      </c>
      <c r="J3" t="s">
        <v>822</v>
      </c>
    </row>
    <row r="4" spans="1:12" x14ac:dyDescent="0.25">
      <c r="A4">
        <v>3</v>
      </c>
      <c r="B4" t="s">
        <v>810</v>
      </c>
      <c r="C4" t="s">
        <v>564</v>
      </c>
      <c r="D4" t="s">
        <v>823</v>
      </c>
      <c r="E4" t="s">
        <v>159</v>
      </c>
      <c r="F4" t="s">
        <v>189</v>
      </c>
      <c r="G4" t="s">
        <v>824</v>
      </c>
      <c r="H4" t="s">
        <v>825</v>
      </c>
      <c r="I4" t="s">
        <v>826</v>
      </c>
      <c r="J4" t="s">
        <v>827</v>
      </c>
    </row>
    <row r="5" spans="1:12" x14ac:dyDescent="0.25">
      <c r="A5">
        <v>4</v>
      </c>
      <c r="B5" t="s">
        <v>810</v>
      </c>
      <c r="C5" t="s">
        <v>259</v>
      </c>
      <c r="D5" t="s">
        <v>828</v>
      </c>
      <c r="E5" t="s">
        <v>829</v>
      </c>
      <c r="F5" t="s">
        <v>189</v>
      </c>
      <c r="G5" t="s">
        <v>577</v>
      </c>
      <c r="H5" t="s">
        <v>578</v>
      </c>
      <c r="I5" t="s">
        <v>830</v>
      </c>
      <c r="J5" t="s">
        <v>831</v>
      </c>
    </row>
    <row r="6" spans="1:12" x14ac:dyDescent="0.25">
      <c r="A6">
        <v>5</v>
      </c>
      <c r="B6" t="s">
        <v>810</v>
      </c>
      <c r="C6" t="s">
        <v>463</v>
      </c>
      <c r="D6" t="s">
        <v>832</v>
      </c>
      <c r="E6" t="s">
        <v>833</v>
      </c>
      <c r="F6" t="s">
        <v>834</v>
      </c>
      <c r="G6" t="s">
        <v>835</v>
      </c>
      <c r="H6" t="s">
        <v>836</v>
      </c>
      <c r="I6" t="s">
        <v>837</v>
      </c>
      <c r="J6" t="s">
        <v>838</v>
      </c>
    </row>
    <row r="7" spans="1:12" ht="120" x14ac:dyDescent="0.25">
      <c r="A7">
        <v>6</v>
      </c>
      <c r="B7" t="s">
        <v>810</v>
      </c>
      <c r="C7" t="s">
        <v>817</v>
      </c>
      <c r="D7" s="11" t="s">
        <v>839</v>
      </c>
      <c r="E7" t="s">
        <v>840</v>
      </c>
      <c r="F7" t="s">
        <v>189</v>
      </c>
      <c r="G7" t="s">
        <v>841</v>
      </c>
      <c r="H7" t="s">
        <v>842</v>
      </c>
      <c r="I7" s="11" t="s">
        <v>843</v>
      </c>
      <c r="J7" t="s">
        <v>844</v>
      </c>
    </row>
    <row r="8" spans="1:12" x14ac:dyDescent="0.25">
      <c r="A8">
        <v>7</v>
      </c>
      <c r="B8" t="s">
        <v>810</v>
      </c>
      <c r="C8" t="s">
        <v>324</v>
      </c>
      <c r="D8" t="s">
        <v>845</v>
      </c>
      <c r="E8" t="s">
        <v>846</v>
      </c>
      <c r="F8" t="s">
        <v>189</v>
      </c>
      <c r="G8" t="s">
        <v>847</v>
      </c>
      <c r="H8" t="s">
        <v>848</v>
      </c>
      <c r="I8" t="s">
        <v>849</v>
      </c>
      <c r="J8" t="s">
        <v>850</v>
      </c>
    </row>
    <row r="9" spans="1:12" x14ac:dyDescent="0.25">
      <c r="A9">
        <v>8</v>
      </c>
      <c r="B9" t="s">
        <v>810</v>
      </c>
      <c r="C9" t="s">
        <v>232</v>
      </c>
      <c r="D9" t="s">
        <v>851</v>
      </c>
      <c r="E9" t="s">
        <v>852</v>
      </c>
      <c r="F9" t="s">
        <v>189</v>
      </c>
      <c r="G9" t="s">
        <v>853</v>
      </c>
      <c r="H9" t="s">
        <v>814</v>
      </c>
      <c r="I9" t="s">
        <v>854</v>
      </c>
      <c r="J9" t="s">
        <v>855</v>
      </c>
    </row>
    <row r="10" spans="1:12" x14ac:dyDescent="0.25">
      <c r="A10">
        <v>9</v>
      </c>
      <c r="B10" t="s">
        <v>810</v>
      </c>
      <c r="C10" t="s">
        <v>324</v>
      </c>
      <c r="D10" t="s">
        <v>856</v>
      </c>
      <c r="E10" t="s">
        <v>857</v>
      </c>
      <c r="F10" t="s">
        <v>189</v>
      </c>
      <c r="G10" t="s">
        <v>858</v>
      </c>
      <c r="H10" t="s">
        <v>859</v>
      </c>
      <c r="I10" t="s">
        <v>860</v>
      </c>
      <c r="J10" t="s">
        <v>861</v>
      </c>
    </row>
    <row r="11" spans="1:12" x14ac:dyDescent="0.25">
      <c r="A11">
        <v>10</v>
      </c>
      <c r="B11" t="s">
        <v>810</v>
      </c>
      <c r="C11" t="s">
        <v>463</v>
      </c>
      <c r="D11" t="s">
        <v>862</v>
      </c>
      <c r="E11" t="s">
        <v>863</v>
      </c>
      <c r="F11" t="s">
        <v>189</v>
      </c>
      <c r="G11" t="s">
        <v>864</v>
      </c>
      <c r="H11" t="s">
        <v>219</v>
      </c>
      <c r="I11" t="s">
        <v>865</v>
      </c>
      <c r="J11" t="s">
        <v>866</v>
      </c>
    </row>
    <row r="12" spans="1:12" ht="60" x14ac:dyDescent="0.25">
      <c r="A12">
        <v>11</v>
      </c>
      <c r="B12" t="s">
        <v>810</v>
      </c>
      <c r="C12" t="s">
        <v>201</v>
      </c>
      <c r="D12" s="11" t="s">
        <v>867</v>
      </c>
      <c r="E12" t="s">
        <v>868</v>
      </c>
      <c r="F12" t="s">
        <v>189</v>
      </c>
      <c r="G12" t="s">
        <v>869</v>
      </c>
      <c r="H12" t="s">
        <v>219</v>
      </c>
      <c r="I12" t="s">
        <v>870</v>
      </c>
      <c r="J12" t="s">
        <v>871</v>
      </c>
    </row>
    <row r="13" spans="1:12" ht="240" x14ac:dyDescent="0.25">
      <c r="A13">
        <v>12</v>
      </c>
      <c r="B13" t="s">
        <v>810</v>
      </c>
      <c r="C13" t="s">
        <v>201</v>
      </c>
      <c r="D13" t="s">
        <v>872</v>
      </c>
      <c r="E13" t="s">
        <v>873</v>
      </c>
      <c r="F13" t="s">
        <v>472</v>
      </c>
      <c r="G13" t="s">
        <v>874</v>
      </c>
      <c r="H13" t="s">
        <v>875</v>
      </c>
      <c r="I13" s="11" t="s">
        <v>876</v>
      </c>
      <c r="J13" t="s">
        <v>877</v>
      </c>
    </row>
    <row r="14" spans="1:12" ht="105" x14ac:dyDescent="0.25">
      <c r="A14">
        <v>12</v>
      </c>
      <c r="B14" t="s">
        <v>810</v>
      </c>
      <c r="C14" t="s">
        <v>201</v>
      </c>
      <c r="D14" t="s">
        <v>878</v>
      </c>
      <c r="E14" t="s">
        <v>879</v>
      </c>
      <c r="F14" t="s">
        <v>189</v>
      </c>
      <c r="G14" t="s">
        <v>727</v>
      </c>
      <c r="H14" t="s">
        <v>880</v>
      </c>
      <c r="I14" s="11" t="s">
        <v>881</v>
      </c>
      <c r="J14" t="s">
        <v>882</v>
      </c>
    </row>
    <row r="15" spans="1:12" x14ac:dyDescent="0.25">
      <c r="A15">
        <v>13</v>
      </c>
      <c r="B15" t="s">
        <v>810</v>
      </c>
      <c r="C15" t="s">
        <v>232</v>
      </c>
      <c r="D15" t="s">
        <v>883</v>
      </c>
      <c r="E15" t="s">
        <v>884</v>
      </c>
      <c r="F15" t="s">
        <v>189</v>
      </c>
      <c r="G15" t="s">
        <v>885</v>
      </c>
      <c r="H15" t="s">
        <v>814</v>
      </c>
      <c r="I15" t="s">
        <v>886</v>
      </c>
      <c r="J15" t="s">
        <v>887</v>
      </c>
    </row>
    <row r="16" spans="1:12" x14ac:dyDescent="0.25">
      <c r="A16">
        <v>14</v>
      </c>
      <c r="B16" t="s">
        <v>810</v>
      </c>
      <c r="C16" t="s">
        <v>215</v>
      </c>
      <c r="D16" t="s">
        <v>888</v>
      </c>
      <c r="E16" t="s">
        <v>889</v>
      </c>
      <c r="F16" t="s">
        <v>890</v>
      </c>
      <c r="G16" t="s">
        <v>891</v>
      </c>
      <c r="H16" t="s">
        <v>814</v>
      </c>
      <c r="I16" t="s">
        <v>892</v>
      </c>
      <c r="J16" t="s">
        <v>893</v>
      </c>
    </row>
    <row r="17" spans="1:10" x14ac:dyDescent="0.25">
      <c r="A17">
        <v>15</v>
      </c>
      <c r="B17" t="s">
        <v>810</v>
      </c>
      <c r="C17" t="s">
        <v>215</v>
      </c>
      <c r="D17" t="s">
        <v>894</v>
      </c>
      <c r="E17" t="s">
        <v>895</v>
      </c>
      <c r="F17" t="s">
        <v>189</v>
      </c>
      <c r="G17" t="s">
        <v>891</v>
      </c>
      <c r="H17" t="s">
        <v>814</v>
      </c>
      <c r="I17" t="s">
        <v>896</v>
      </c>
      <c r="J17" t="s">
        <v>897</v>
      </c>
    </row>
    <row r="18" spans="1:10" x14ac:dyDescent="0.25">
      <c r="A18">
        <v>16</v>
      </c>
      <c r="B18" t="s">
        <v>810</v>
      </c>
      <c r="D18" t="s">
        <v>898</v>
      </c>
      <c r="E18" t="s">
        <v>899</v>
      </c>
      <c r="F18" t="s">
        <v>189</v>
      </c>
      <c r="G18" t="s">
        <v>900</v>
      </c>
      <c r="H18" t="s">
        <v>814</v>
      </c>
      <c r="I18" t="s">
        <v>901</v>
      </c>
      <c r="J18" t="s">
        <v>902</v>
      </c>
    </row>
    <row r="19" spans="1:10" ht="135" x14ac:dyDescent="0.25">
      <c r="A19">
        <v>17</v>
      </c>
      <c r="B19" t="s">
        <v>810</v>
      </c>
      <c r="C19" t="s">
        <v>201</v>
      </c>
      <c r="D19" t="s">
        <v>903</v>
      </c>
      <c r="E19" t="s">
        <v>904</v>
      </c>
      <c r="F19" t="s">
        <v>189</v>
      </c>
      <c r="G19" t="s">
        <v>905</v>
      </c>
      <c r="H19" t="s">
        <v>906</v>
      </c>
      <c r="I19" s="11" t="s">
        <v>907</v>
      </c>
      <c r="J19" t="s">
        <v>908</v>
      </c>
    </row>
    <row r="20" spans="1:10" x14ac:dyDescent="0.25">
      <c r="A20">
        <v>18</v>
      </c>
      <c r="B20" t="s">
        <v>810</v>
      </c>
      <c r="C20" t="s">
        <v>194</v>
      </c>
      <c r="D20" t="s">
        <v>909</v>
      </c>
      <c r="E20" t="s">
        <v>910</v>
      </c>
      <c r="F20" t="s">
        <v>189</v>
      </c>
      <c r="G20" t="s">
        <v>911</v>
      </c>
      <c r="H20" t="s">
        <v>219</v>
      </c>
      <c r="I20" t="s">
        <v>912</v>
      </c>
      <c r="J20" t="s">
        <v>913</v>
      </c>
    </row>
    <row r="21" spans="1:10" x14ac:dyDescent="0.25">
      <c r="A21">
        <v>19</v>
      </c>
      <c r="B21" t="s">
        <v>810</v>
      </c>
      <c r="C21" t="s">
        <v>649</v>
      </c>
      <c r="D21" t="s">
        <v>914</v>
      </c>
      <c r="E21" t="s">
        <v>915</v>
      </c>
      <c r="F21" t="s">
        <v>189</v>
      </c>
      <c r="G21" t="s">
        <v>911</v>
      </c>
      <c r="H21" t="s">
        <v>219</v>
      </c>
      <c r="I21" t="s">
        <v>916</v>
      </c>
      <c r="J21" t="s">
        <v>917</v>
      </c>
    </row>
    <row r="22" spans="1:10" x14ac:dyDescent="0.25">
      <c r="A22">
        <v>20</v>
      </c>
      <c r="B22" t="s">
        <v>810</v>
      </c>
      <c r="C22" t="s">
        <v>331</v>
      </c>
      <c r="D22" t="s">
        <v>918</v>
      </c>
      <c r="E22" t="s">
        <v>137</v>
      </c>
      <c r="F22" t="s">
        <v>189</v>
      </c>
      <c r="G22" t="s">
        <v>911</v>
      </c>
      <c r="H22" t="s">
        <v>219</v>
      </c>
      <c r="I22" t="s">
        <v>919</v>
      </c>
      <c r="J22" t="s">
        <v>920</v>
      </c>
    </row>
    <row r="23" spans="1:10" x14ac:dyDescent="0.25">
      <c r="A23">
        <v>22</v>
      </c>
      <c r="B23" t="s">
        <v>810</v>
      </c>
      <c r="C23" t="s">
        <v>921</v>
      </c>
      <c r="D23" t="s">
        <v>922</v>
      </c>
      <c r="E23" t="s">
        <v>923</v>
      </c>
      <c r="F23" t="s">
        <v>189</v>
      </c>
      <c r="G23" t="s">
        <v>911</v>
      </c>
      <c r="H23" t="s">
        <v>219</v>
      </c>
      <c r="I23" t="s">
        <v>924</v>
      </c>
    </row>
    <row r="24" spans="1:10" x14ac:dyDescent="0.25">
      <c r="A24">
        <v>21</v>
      </c>
      <c r="B24" t="s">
        <v>810</v>
      </c>
      <c r="C24" t="s">
        <v>925</v>
      </c>
      <c r="D24" t="s">
        <v>926</v>
      </c>
      <c r="E24" t="s">
        <v>927</v>
      </c>
      <c r="F24" t="s">
        <v>189</v>
      </c>
      <c r="G24" t="s">
        <v>911</v>
      </c>
      <c r="H24" t="s">
        <v>219</v>
      </c>
      <c r="I24" t="s">
        <v>928</v>
      </c>
      <c r="J24" t="s">
        <v>929</v>
      </c>
    </row>
    <row r="25" spans="1:10" x14ac:dyDescent="0.25">
      <c r="A25">
        <v>22</v>
      </c>
      <c r="B25" t="s">
        <v>810</v>
      </c>
      <c r="C25" t="s">
        <v>304</v>
      </c>
      <c r="D25" t="s">
        <v>930</v>
      </c>
      <c r="E25" t="s">
        <v>931</v>
      </c>
      <c r="F25" t="s">
        <v>189</v>
      </c>
      <c r="G25" t="s">
        <v>911</v>
      </c>
      <c r="H25" t="s">
        <v>219</v>
      </c>
      <c r="I25" t="s">
        <v>932</v>
      </c>
      <c r="J25" t="s">
        <v>933</v>
      </c>
    </row>
    <row r="26" spans="1:10" x14ac:dyDescent="0.25">
      <c r="A26">
        <v>25</v>
      </c>
      <c r="B26" t="s">
        <v>810</v>
      </c>
      <c r="C26" t="s">
        <v>921</v>
      </c>
      <c r="D26" t="s">
        <v>934</v>
      </c>
      <c r="E26" t="s">
        <v>935</v>
      </c>
      <c r="F26" t="s">
        <v>189</v>
      </c>
      <c r="G26" t="s">
        <v>911</v>
      </c>
      <c r="H26" t="s">
        <v>219</v>
      </c>
      <c r="I26" t="s">
        <v>936</v>
      </c>
    </row>
    <row r="27" spans="1:10" x14ac:dyDescent="0.25">
      <c r="A27">
        <v>23</v>
      </c>
      <c r="B27" t="s">
        <v>810</v>
      </c>
      <c r="C27" t="s">
        <v>215</v>
      </c>
      <c r="D27" t="s">
        <v>937</v>
      </c>
      <c r="E27" t="s">
        <v>938</v>
      </c>
      <c r="F27" t="s">
        <v>189</v>
      </c>
      <c r="G27" t="s">
        <v>911</v>
      </c>
      <c r="H27" t="s">
        <v>219</v>
      </c>
      <c r="I27" t="s">
        <v>939</v>
      </c>
      <c r="J27" t="s">
        <v>940</v>
      </c>
    </row>
    <row r="28" spans="1:10" x14ac:dyDescent="0.25">
      <c r="A28">
        <v>24</v>
      </c>
      <c r="B28" t="s">
        <v>810</v>
      </c>
      <c r="C28" t="s">
        <v>925</v>
      </c>
      <c r="D28" t="s">
        <v>941</v>
      </c>
      <c r="E28" t="s">
        <v>942</v>
      </c>
      <c r="F28" t="s">
        <v>189</v>
      </c>
      <c r="G28" t="s">
        <v>911</v>
      </c>
      <c r="H28" t="s">
        <v>219</v>
      </c>
      <c r="I28" t="s">
        <v>943</v>
      </c>
      <c r="J28" t="s">
        <v>944</v>
      </c>
    </row>
    <row r="29" spans="1:10" x14ac:dyDescent="0.25">
      <c r="A29">
        <v>25</v>
      </c>
      <c r="B29" t="s">
        <v>810</v>
      </c>
      <c r="C29" t="s">
        <v>945</v>
      </c>
      <c r="D29" t="s">
        <v>946</v>
      </c>
      <c r="E29" t="s">
        <v>947</v>
      </c>
      <c r="F29" t="s">
        <v>189</v>
      </c>
      <c r="G29" t="s">
        <v>911</v>
      </c>
      <c r="H29" t="s">
        <v>219</v>
      </c>
      <c r="I29" t="s">
        <v>948</v>
      </c>
      <c r="J29" t="s">
        <v>949</v>
      </c>
    </row>
    <row r="30" spans="1:10" x14ac:dyDescent="0.25">
      <c r="A30">
        <v>26</v>
      </c>
      <c r="B30" t="s">
        <v>950</v>
      </c>
      <c r="C30" t="s">
        <v>324</v>
      </c>
      <c r="D30" t="s">
        <v>951</v>
      </c>
      <c r="E30" t="s">
        <v>952</v>
      </c>
      <c r="F30" t="s">
        <v>189</v>
      </c>
      <c r="G30" t="s">
        <v>820</v>
      </c>
      <c r="H30" t="s">
        <v>953</v>
      </c>
      <c r="I30" t="s">
        <v>954</v>
      </c>
      <c r="J30" t="s">
        <v>955</v>
      </c>
    </row>
    <row r="31" spans="1:10" x14ac:dyDescent="0.25">
      <c r="A31">
        <v>27</v>
      </c>
      <c r="B31" t="s">
        <v>950</v>
      </c>
      <c r="C31" t="s">
        <v>324</v>
      </c>
      <c r="D31" t="s">
        <v>956</v>
      </c>
      <c r="E31" t="s">
        <v>957</v>
      </c>
      <c r="F31" t="s">
        <v>189</v>
      </c>
      <c r="G31" t="s">
        <v>958</v>
      </c>
      <c r="H31" t="s">
        <v>625</v>
      </c>
      <c r="I31" t="s">
        <v>959</v>
      </c>
      <c r="J31" t="s">
        <v>960</v>
      </c>
    </row>
    <row r="32" spans="1:10" x14ac:dyDescent="0.25">
      <c r="A32">
        <v>28</v>
      </c>
      <c r="B32" t="s">
        <v>950</v>
      </c>
      <c r="C32" t="s">
        <v>319</v>
      </c>
      <c r="D32" t="s">
        <v>961</v>
      </c>
      <c r="E32" t="s">
        <v>962</v>
      </c>
      <c r="F32" t="s">
        <v>189</v>
      </c>
      <c r="G32" t="s">
        <v>963</v>
      </c>
      <c r="H32" t="s">
        <v>964</v>
      </c>
      <c r="I32" t="s">
        <v>965</v>
      </c>
      <c r="J32" t="s">
        <v>966</v>
      </c>
    </row>
    <row r="33" spans="1:10" ht="60" x14ac:dyDescent="0.25">
      <c r="A33">
        <v>29</v>
      </c>
      <c r="B33" t="s">
        <v>950</v>
      </c>
      <c r="C33" t="s">
        <v>201</v>
      </c>
      <c r="D33" s="11" t="s">
        <v>967</v>
      </c>
      <c r="E33" t="s">
        <v>968</v>
      </c>
      <c r="F33" t="s">
        <v>189</v>
      </c>
      <c r="G33" t="s">
        <v>624</v>
      </c>
      <c r="H33" t="s">
        <v>625</v>
      </c>
      <c r="I33" t="s">
        <v>969</v>
      </c>
      <c r="J33" t="s">
        <v>970</v>
      </c>
    </row>
    <row r="34" spans="1:10" ht="135" x14ac:dyDescent="0.25">
      <c r="A34">
        <v>30</v>
      </c>
      <c r="B34" t="s">
        <v>950</v>
      </c>
      <c r="C34" t="s">
        <v>435</v>
      </c>
      <c r="D34" t="s">
        <v>971</v>
      </c>
      <c r="E34" t="s">
        <v>972</v>
      </c>
      <c r="F34" t="s">
        <v>189</v>
      </c>
      <c r="G34" s="11" t="s">
        <v>973</v>
      </c>
      <c r="H34" t="s">
        <v>814</v>
      </c>
      <c r="I34" s="11" t="s">
        <v>974</v>
      </c>
      <c r="J34" t="s">
        <v>975</v>
      </c>
    </row>
    <row r="35" spans="1:10" x14ac:dyDescent="0.25">
      <c r="A35">
        <v>31</v>
      </c>
      <c r="B35" t="s">
        <v>950</v>
      </c>
      <c r="C35" t="s">
        <v>435</v>
      </c>
      <c r="D35" t="s">
        <v>976</v>
      </c>
      <c r="E35" t="s">
        <v>977</v>
      </c>
      <c r="F35" t="s">
        <v>189</v>
      </c>
      <c r="G35" t="s">
        <v>978</v>
      </c>
      <c r="H35" t="s">
        <v>219</v>
      </c>
      <c r="I35" t="s">
        <v>979</v>
      </c>
      <c r="J35" t="s">
        <v>980</v>
      </c>
    </row>
    <row r="36" spans="1:10" ht="135" x14ac:dyDescent="0.25">
      <c r="A36">
        <v>32</v>
      </c>
      <c r="B36" t="s">
        <v>950</v>
      </c>
      <c r="C36" t="s">
        <v>215</v>
      </c>
      <c r="D36" s="11" t="s">
        <v>981</v>
      </c>
      <c r="E36" t="s">
        <v>982</v>
      </c>
      <c r="F36" t="s">
        <v>189</v>
      </c>
      <c r="G36" s="11" t="s">
        <v>983</v>
      </c>
      <c r="H36" t="s">
        <v>814</v>
      </c>
      <c r="I36" s="11" t="s">
        <v>984</v>
      </c>
      <c r="J36" t="s">
        <v>985</v>
      </c>
    </row>
    <row r="37" spans="1:10" x14ac:dyDescent="0.25">
      <c r="A37">
        <v>33</v>
      </c>
      <c r="B37" t="s">
        <v>950</v>
      </c>
      <c r="C37" t="s">
        <v>324</v>
      </c>
      <c r="D37" t="s">
        <v>986</v>
      </c>
      <c r="E37" t="s">
        <v>987</v>
      </c>
      <c r="F37" t="s">
        <v>189</v>
      </c>
      <c r="G37" t="s">
        <v>847</v>
      </c>
      <c r="H37" t="s">
        <v>988</v>
      </c>
      <c r="I37" t="s">
        <v>989</v>
      </c>
      <c r="J37" t="s">
        <v>990</v>
      </c>
    </row>
    <row r="38" spans="1:10" x14ac:dyDescent="0.25">
      <c r="A38">
        <v>34</v>
      </c>
      <c r="B38" t="s">
        <v>950</v>
      </c>
      <c r="C38" t="s">
        <v>269</v>
      </c>
      <c r="D38" t="s">
        <v>991</v>
      </c>
      <c r="E38" t="s">
        <v>992</v>
      </c>
      <c r="F38" t="s">
        <v>189</v>
      </c>
      <c r="G38" t="s">
        <v>993</v>
      </c>
      <c r="H38" t="s">
        <v>814</v>
      </c>
      <c r="I38" t="s">
        <v>994</v>
      </c>
      <c r="J38" t="s">
        <v>995</v>
      </c>
    </row>
    <row r="39" spans="1:10" x14ac:dyDescent="0.25">
      <c r="A39">
        <v>35</v>
      </c>
      <c r="B39" t="s">
        <v>950</v>
      </c>
      <c r="C39" t="s">
        <v>259</v>
      </c>
      <c r="D39" t="s">
        <v>996</v>
      </c>
      <c r="E39" t="s">
        <v>997</v>
      </c>
      <c r="F39" t="s">
        <v>189</v>
      </c>
      <c r="G39" t="s">
        <v>998</v>
      </c>
      <c r="H39" t="s">
        <v>999</v>
      </c>
      <c r="I39" t="s">
        <v>1000</v>
      </c>
      <c r="J39" t="s">
        <v>1001</v>
      </c>
    </row>
    <row r="40" spans="1:10" ht="90" x14ac:dyDescent="0.25">
      <c r="A40">
        <v>39</v>
      </c>
      <c r="B40" t="s">
        <v>950</v>
      </c>
      <c r="C40" t="s">
        <v>925</v>
      </c>
      <c r="D40" t="s">
        <v>1002</v>
      </c>
      <c r="E40" t="s">
        <v>1003</v>
      </c>
      <c r="F40" t="s">
        <v>472</v>
      </c>
      <c r="G40" t="s">
        <v>1004</v>
      </c>
      <c r="H40" t="s">
        <v>814</v>
      </c>
      <c r="I40" s="11" t="s">
        <v>1005</v>
      </c>
      <c r="J40" t="s">
        <v>1006</v>
      </c>
    </row>
    <row r="41" spans="1:10" x14ac:dyDescent="0.25">
      <c r="A41">
        <v>36</v>
      </c>
      <c r="B41" t="s">
        <v>950</v>
      </c>
      <c r="C41" t="s">
        <v>331</v>
      </c>
      <c r="D41" t="s">
        <v>1007</v>
      </c>
      <c r="E41" t="s">
        <v>1008</v>
      </c>
      <c r="F41" t="s">
        <v>189</v>
      </c>
      <c r="G41" t="s">
        <v>1009</v>
      </c>
      <c r="H41" t="s">
        <v>1010</v>
      </c>
      <c r="I41" t="s">
        <v>1011</v>
      </c>
      <c r="J41" t="s">
        <v>1012</v>
      </c>
    </row>
    <row r="42" spans="1:10" x14ac:dyDescent="0.25">
      <c r="A42">
        <v>37</v>
      </c>
      <c r="B42" t="s">
        <v>950</v>
      </c>
      <c r="C42" t="s">
        <v>194</v>
      </c>
      <c r="D42" t="s">
        <v>1013</v>
      </c>
      <c r="E42" t="s">
        <v>1014</v>
      </c>
      <c r="F42" t="s">
        <v>189</v>
      </c>
      <c r="G42" t="s">
        <v>1015</v>
      </c>
      <c r="H42" t="s">
        <v>953</v>
      </c>
      <c r="I42" t="s">
        <v>1016</v>
      </c>
      <c r="J42" t="s">
        <v>1017</v>
      </c>
    </row>
    <row r="43" spans="1:10" ht="105" x14ac:dyDescent="0.25">
      <c r="A43">
        <v>38</v>
      </c>
      <c r="B43" t="s">
        <v>950</v>
      </c>
      <c r="C43" t="s">
        <v>194</v>
      </c>
      <c r="D43" s="11" t="s">
        <v>1018</v>
      </c>
      <c r="E43" t="s">
        <v>1019</v>
      </c>
      <c r="F43" t="s">
        <v>189</v>
      </c>
      <c r="G43" s="11" t="s">
        <v>1020</v>
      </c>
      <c r="H43" t="s">
        <v>814</v>
      </c>
      <c r="I43" s="11" t="s">
        <v>1021</v>
      </c>
      <c r="J43" t="s">
        <v>1022</v>
      </c>
    </row>
    <row r="44" spans="1:10" x14ac:dyDescent="0.25">
      <c r="A44">
        <v>39</v>
      </c>
      <c r="B44" t="s">
        <v>950</v>
      </c>
      <c r="C44" t="s">
        <v>331</v>
      </c>
      <c r="D44" t="s">
        <v>1023</v>
      </c>
      <c r="E44" t="s">
        <v>1024</v>
      </c>
      <c r="F44" t="s">
        <v>189</v>
      </c>
      <c r="G44" t="s">
        <v>1025</v>
      </c>
      <c r="H44" t="s">
        <v>1026</v>
      </c>
      <c r="I44" t="s">
        <v>1027</v>
      </c>
      <c r="J44" t="s">
        <v>1028</v>
      </c>
    </row>
    <row r="45" spans="1:10" x14ac:dyDescent="0.25">
      <c r="A45">
        <v>40</v>
      </c>
      <c r="B45" t="s">
        <v>950</v>
      </c>
      <c r="C45" t="s">
        <v>201</v>
      </c>
      <c r="D45" t="s">
        <v>1029</v>
      </c>
      <c r="E45" t="s">
        <v>1030</v>
      </c>
      <c r="F45" t="s">
        <v>189</v>
      </c>
      <c r="G45" t="s">
        <v>1031</v>
      </c>
      <c r="H45" t="s">
        <v>1032</v>
      </c>
      <c r="I45" t="s">
        <v>1033</v>
      </c>
      <c r="J45" t="s">
        <v>1034</v>
      </c>
    </row>
    <row r="46" spans="1:10" x14ac:dyDescent="0.25">
      <c r="A46">
        <v>41</v>
      </c>
      <c r="B46" t="s">
        <v>950</v>
      </c>
      <c r="C46" t="s">
        <v>817</v>
      </c>
      <c r="D46" t="s">
        <v>1035</v>
      </c>
      <c r="E46" t="s">
        <v>1036</v>
      </c>
      <c r="F46" t="s">
        <v>189</v>
      </c>
      <c r="G46" t="s">
        <v>1037</v>
      </c>
      <c r="H46" t="s">
        <v>1038</v>
      </c>
      <c r="J46" t="s">
        <v>1039</v>
      </c>
    </row>
    <row r="47" spans="1:10" ht="150" x14ac:dyDescent="0.25">
      <c r="A47">
        <v>42</v>
      </c>
      <c r="B47" t="s">
        <v>950</v>
      </c>
      <c r="C47" t="s">
        <v>463</v>
      </c>
      <c r="D47" t="s">
        <v>1040</v>
      </c>
      <c r="E47" t="s">
        <v>1041</v>
      </c>
      <c r="F47" t="s">
        <v>189</v>
      </c>
      <c r="G47" t="s">
        <v>1042</v>
      </c>
      <c r="H47" t="s">
        <v>814</v>
      </c>
      <c r="I47" s="11" t="s">
        <v>1043</v>
      </c>
      <c r="J47" t="s">
        <v>1044</v>
      </c>
    </row>
    <row r="48" spans="1:10" x14ac:dyDescent="0.25">
      <c r="A48">
        <v>43</v>
      </c>
      <c r="B48" t="s">
        <v>950</v>
      </c>
      <c r="C48" t="s">
        <v>324</v>
      </c>
      <c r="D48" t="s">
        <v>1045</v>
      </c>
      <c r="E48" t="s">
        <v>82</v>
      </c>
      <c r="F48" t="s">
        <v>189</v>
      </c>
      <c r="G48" t="s">
        <v>1046</v>
      </c>
      <c r="H48" t="s">
        <v>1047</v>
      </c>
      <c r="I48" t="s">
        <v>1048</v>
      </c>
      <c r="J48" t="s">
        <v>1049</v>
      </c>
    </row>
    <row r="49" spans="1:10" x14ac:dyDescent="0.25">
      <c r="A49">
        <v>44</v>
      </c>
      <c r="B49" t="s">
        <v>950</v>
      </c>
      <c r="C49" t="s">
        <v>1050</v>
      </c>
      <c r="D49" t="s">
        <v>1051</v>
      </c>
      <c r="E49" t="s">
        <v>1052</v>
      </c>
      <c r="F49" t="s">
        <v>189</v>
      </c>
      <c r="G49" t="s">
        <v>1053</v>
      </c>
      <c r="H49" t="s">
        <v>219</v>
      </c>
      <c r="I49" t="s">
        <v>1054</v>
      </c>
      <c r="J49" t="s">
        <v>1055</v>
      </c>
    </row>
    <row r="50" spans="1:10" x14ac:dyDescent="0.25">
      <c r="A50">
        <v>45</v>
      </c>
      <c r="B50" t="s">
        <v>950</v>
      </c>
      <c r="C50" t="s">
        <v>1056</v>
      </c>
      <c r="D50" t="s">
        <v>1057</v>
      </c>
      <c r="E50" t="s">
        <v>1058</v>
      </c>
      <c r="F50" t="s">
        <v>189</v>
      </c>
      <c r="G50" t="s">
        <v>1053</v>
      </c>
      <c r="H50" t="s">
        <v>219</v>
      </c>
      <c r="I50" t="s">
        <v>1059</v>
      </c>
      <c r="J50" t="s">
        <v>1060</v>
      </c>
    </row>
    <row r="51" spans="1:10" x14ac:dyDescent="0.25">
      <c r="A51">
        <v>46</v>
      </c>
      <c r="B51" t="s">
        <v>950</v>
      </c>
      <c r="C51" t="s">
        <v>1061</v>
      </c>
      <c r="D51" t="s">
        <v>1062</v>
      </c>
      <c r="E51" t="s">
        <v>1063</v>
      </c>
      <c r="F51" t="s">
        <v>189</v>
      </c>
      <c r="G51" t="s">
        <v>1053</v>
      </c>
      <c r="H51" t="s">
        <v>219</v>
      </c>
      <c r="I51" t="s">
        <v>1064</v>
      </c>
      <c r="J51" t="s">
        <v>1065</v>
      </c>
    </row>
    <row r="52" spans="1:10" x14ac:dyDescent="0.25">
      <c r="A52">
        <v>47</v>
      </c>
      <c r="B52" t="s">
        <v>950</v>
      </c>
      <c r="C52" t="s">
        <v>309</v>
      </c>
      <c r="D52" t="s">
        <v>1066</v>
      </c>
      <c r="E52" t="s">
        <v>1067</v>
      </c>
      <c r="F52" t="s">
        <v>189</v>
      </c>
      <c r="G52" t="s">
        <v>1053</v>
      </c>
      <c r="H52" t="s">
        <v>219</v>
      </c>
      <c r="I52" t="s">
        <v>1068</v>
      </c>
      <c r="J52" t="s">
        <v>1069</v>
      </c>
    </row>
    <row r="53" spans="1:10" x14ac:dyDescent="0.25">
      <c r="A53">
        <v>52</v>
      </c>
    </row>
    <row r="54" spans="1:10" x14ac:dyDescent="0.25">
      <c r="A54">
        <v>53</v>
      </c>
    </row>
    <row r="55" spans="1:10" x14ac:dyDescent="0.25">
      <c r="A55">
        <v>54</v>
      </c>
      <c r="C55" t="s">
        <v>804</v>
      </c>
      <c r="D55" t="s">
        <v>805</v>
      </c>
      <c r="E55" t="s">
        <v>806</v>
      </c>
    </row>
    <row r="56" spans="1:10" x14ac:dyDescent="0.25">
      <c r="A56">
        <v>55</v>
      </c>
      <c r="D56" t="s">
        <v>807</v>
      </c>
      <c r="E56" t="s">
        <v>808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2"/>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ht="45" x14ac:dyDescent="0.25">
      <c r="A2">
        <v>1</v>
      </c>
      <c r="B2" t="s">
        <v>1070</v>
      </c>
      <c r="C2" t="s">
        <v>324</v>
      </c>
      <c r="D2" s="11" t="s">
        <v>1071</v>
      </c>
      <c r="E2" t="s">
        <v>1072</v>
      </c>
      <c r="F2" t="s">
        <v>189</v>
      </c>
      <c r="I2" t="s">
        <v>1073</v>
      </c>
      <c r="J2" t="s">
        <v>1074</v>
      </c>
    </row>
    <row r="3" spans="1:12" x14ac:dyDescent="0.25">
      <c r="A3">
        <v>2</v>
      </c>
      <c r="B3" t="s">
        <v>1070</v>
      </c>
      <c r="C3" t="s">
        <v>215</v>
      </c>
      <c r="D3" t="s">
        <v>1075</v>
      </c>
      <c r="E3" t="s">
        <v>1076</v>
      </c>
      <c r="F3" t="s">
        <v>1077</v>
      </c>
      <c r="J3" t="s">
        <v>1078</v>
      </c>
      <c r="L3" t="s">
        <v>1079</v>
      </c>
    </row>
    <row r="4" spans="1:12" ht="75" x14ac:dyDescent="0.25">
      <c r="A4">
        <v>2</v>
      </c>
      <c r="B4" t="s">
        <v>1070</v>
      </c>
      <c r="C4" t="s">
        <v>208</v>
      </c>
      <c r="D4" s="11" t="s">
        <v>1080</v>
      </c>
      <c r="E4" t="s">
        <v>1081</v>
      </c>
      <c r="F4" t="s">
        <v>189</v>
      </c>
      <c r="I4" t="s">
        <v>1082</v>
      </c>
      <c r="J4" t="s">
        <v>1083</v>
      </c>
    </row>
    <row r="5" spans="1:12" x14ac:dyDescent="0.25">
      <c r="A5">
        <v>3</v>
      </c>
      <c r="B5" t="s">
        <v>1070</v>
      </c>
      <c r="C5" t="s">
        <v>1084</v>
      </c>
      <c r="D5" t="s">
        <v>1085</v>
      </c>
      <c r="E5" t="s">
        <v>1086</v>
      </c>
      <c r="F5" t="s">
        <v>189</v>
      </c>
      <c r="I5" t="s">
        <v>1087</v>
      </c>
      <c r="J5" t="s">
        <v>1088</v>
      </c>
      <c r="L5" t="s">
        <v>1089</v>
      </c>
    </row>
    <row r="6" spans="1:12" x14ac:dyDescent="0.25">
      <c r="A6">
        <v>4</v>
      </c>
      <c r="B6" t="s">
        <v>1070</v>
      </c>
      <c r="C6" t="s">
        <v>201</v>
      </c>
      <c r="D6" t="s">
        <v>1090</v>
      </c>
      <c r="E6" t="s">
        <v>1091</v>
      </c>
      <c r="F6" t="s">
        <v>189</v>
      </c>
      <c r="I6" t="s">
        <v>1092</v>
      </c>
      <c r="J6" t="s">
        <v>1093</v>
      </c>
    </row>
    <row r="7" spans="1:12" x14ac:dyDescent="0.25">
      <c r="A7">
        <v>5</v>
      </c>
      <c r="B7" t="s">
        <v>1070</v>
      </c>
      <c r="C7" t="s">
        <v>324</v>
      </c>
      <c r="D7" t="s">
        <v>1094</v>
      </c>
      <c r="E7" t="s">
        <v>1095</v>
      </c>
      <c r="F7" t="s">
        <v>189</v>
      </c>
      <c r="I7" t="s">
        <v>1096</v>
      </c>
      <c r="J7" t="s">
        <v>1097</v>
      </c>
      <c r="L7" t="s">
        <v>1089</v>
      </c>
    </row>
    <row r="8" spans="1:12" x14ac:dyDescent="0.25">
      <c r="A8">
        <v>6</v>
      </c>
      <c r="B8" t="s">
        <v>1070</v>
      </c>
      <c r="C8" t="s">
        <v>435</v>
      </c>
      <c r="D8" t="s">
        <v>1098</v>
      </c>
      <c r="E8" t="s">
        <v>521</v>
      </c>
      <c r="F8" t="s">
        <v>189</v>
      </c>
      <c r="I8" t="s">
        <v>1099</v>
      </c>
      <c r="J8" t="s">
        <v>1100</v>
      </c>
    </row>
    <row r="9" spans="1:12" x14ac:dyDescent="0.25">
      <c r="A9">
        <v>7</v>
      </c>
      <c r="B9" t="s">
        <v>1070</v>
      </c>
      <c r="C9" t="s">
        <v>564</v>
      </c>
      <c r="D9" t="s">
        <v>1101</v>
      </c>
      <c r="E9" t="s">
        <v>1102</v>
      </c>
      <c r="F9" t="s">
        <v>189</v>
      </c>
      <c r="I9" t="s">
        <v>1103</v>
      </c>
      <c r="J9" t="s">
        <v>1104</v>
      </c>
      <c r="L9" t="s">
        <v>1105</v>
      </c>
    </row>
    <row r="10" spans="1:12" ht="45" x14ac:dyDescent="0.25">
      <c r="A10">
        <v>8</v>
      </c>
      <c r="B10" t="s">
        <v>1070</v>
      </c>
      <c r="C10" t="s">
        <v>1106</v>
      </c>
      <c r="D10" s="11" t="s">
        <v>1107</v>
      </c>
      <c r="E10" t="s">
        <v>1108</v>
      </c>
      <c r="F10" t="s">
        <v>189</v>
      </c>
      <c r="I10" t="s">
        <v>1109</v>
      </c>
      <c r="J10" t="s">
        <v>1110</v>
      </c>
      <c r="L10" t="s">
        <v>1105</v>
      </c>
    </row>
    <row r="11" spans="1:12" x14ac:dyDescent="0.25">
      <c r="A11">
        <v>9</v>
      </c>
      <c r="B11" t="s">
        <v>1070</v>
      </c>
      <c r="C11" t="s">
        <v>319</v>
      </c>
      <c r="D11" t="s">
        <v>1111</v>
      </c>
      <c r="E11" t="s">
        <v>1112</v>
      </c>
      <c r="F11" t="s">
        <v>189</v>
      </c>
      <c r="I11" t="s">
        <v>1113</v>
      </c>
      <c r="J11" t="s">
        <v>1114</v>
      </c>
      <c r="L11" t="s">
        <v>1105</v>
      </c>
    </row>
    <row r="12" spans="1:12" ht="120" x14ac:dyDescent="0.25">
      <c r="A12">
        <v>11</v>
      </c>
      <c r="B12" t="s">
        <v>1070</v>
      </c>
      <c r="C12" t="s">
        <v>1115</v>
      </c>
      <c r="D12" t="s">
        <v>1116</v>
      </c>
      <c r="E12" t="s">
        <v>1117</v>
      </c>
      <c r="F12" t="s">
        <v>472</v>
      </c>
      <c r="I12" s="11" t="s">
        <v>1118</v>
      </c>
      <c r="J12" t="s">
        <v>1119</v>
      </c>
      <c r="L12" t="s">
        <v>1105</v>
      </c>
    </row>
    <row r="13" spans="1:12" x14ac:dyDescent="0.25">
      <c r="A13" t="s">
        <v>1120</v>
      </c>
      <c r="B13" t="s">
        <v>1070</v>
      </c>
      <c r="C13" t="s">
        <v>208</v>
      </c>
      <c r="D13" t="s">
        <v>1121</v>
      </c>
      <c r="E13" t="s">
        <v>1122</v>
      </c>
      <c r="F13" t="s">
        <v>189</v>
      </c>
      <c r="I13" t="s">
        <v>1123</v>
      </c>
      <c r="J13" t="s">
        <v>1124</v>
      </c>
      <c r="L13" t="s">
        <v>1105</v>
      </c>
    </row>
    <row r="14" spans="1:12" ht="180" x14ac:dyDescent="0.25">
      <c r="A14" t="s">
        <v>1125</v>
      </c>
      <c r="B14" t="s">
        <v>1070</v>
      </c>
      <c r="C14" t="s">
        <v>649</v>
      </c>
      <c r="D14" t="s">
        <v>1126</v>
      </c>
      <c r="E14" t="s">
        <v>1127</v>
      </c>
      <c r="F14" t="s">
        <v>189</v>
      </c>
      <c r="I14" s="11" t="s">
        <v>1128</v>
      </c>
      <c r="J14" t="s">
        <v>1129</v>
      </c>
      <c r="L14" t="s">
        <v>1105</v>
      </c>
    </row>
    <row r="15" spans="1:12" ht="45" x14ac:dyDescent="0.25">
      <c r="A15" t="s">
        <v>1130</v>
      </c>
      <c r="B15" t="s">
        <v>1070</v>
      </c>
      <c r="C15" t="s">
        <v>1131</v>
      </c>
      <c r="D15" s="11" t="s">
        <v>1132</v>
      </c>
      <c r="E15" t="s">
        <v>1133</v>
      </c>
      <c r="F15" t="s">
        <v>189</v>
      </c>
      <c r="I15" t="s">
        <v>1134</v>
      </c>
      <c r="J15" t="s">
        <v>1135</v>
      </c>
    </row>
    <row r="16" spans="1:12" ht="90" x14ac:dyDescent="0.25">
      <c r="A16">
        <v>15</v>
      </c>
      <c r="B16" t="s">
        <v>1070</v>
      </c>
      <c r="C16" t="s">
        <v>1136</v>
      </c>
      <c r="D16" t="s">
        <v>1137</v>
      </c>
      <c r="E16" t="s">
        <v>1138</v>
      </c>
      <c r="F16" t="s">
        <v>472</v>
      </c>
      <c r="I16" s="11" t="s">
        <v>1139</v>
      </c>
      <c r="J16" t="s">
        <v>1140</v>
      </c>
    </row>
    <row r="17" spans="1:12" x14ac:dyDescent="0.25">
      <c r="A17" t="s">
        <v>1141</v>
      </c>
      <c r="B17" t="s">
        <v>1070</v>
      </c>
      <c r="C17" t="s">
        <v>564</v>
      </c>
      <c r="D17" t="s">
        <v>1142</v>
      </c>
      <c r="E17" t="s">
        <v>159</v>
      </c>
      <c r="F17" t="s">
        <v>189</v>
      </c>
      <c r="I17" t="s">
        <v>1143</v>
      </c>
      <c r="J17" t="s">
        <v>1144</v>
      </c>
    </row>
    <row r="18" spans="1:12" x14ac:dyDescent="0.25">
      <c r="A18" t="s">
        <v>1145</v>
      </c>
      <c r="B18" t="s">
        <v>1070</v>
      </c>
      <c r="C18" t="s">
        <v>280</v>
      </c>
      <c r="D18" t="s">
        <v>1146</v>
      </c>
      <c r="E18" t="s">
        <v>1147</v>
      </c>
      <c r="F18" t="s">
        <v>189</v>
      </c>
      <c r="I18" t="s">
        <v>1148</v>
      </c>
      <c r="J18" t="s">
        <v>1149</v>
      </c>
    </row>
    <row r="19" spans="1:12" x14ac:dyDescent="0.25">
      <c r="A19" t="s">
        <v>1150</v>
      </c>
      <c r="B19" t="s">
        <v>1070</v>
      </c>
      <c r="C19" t="s">
        <v>280</v>
      </c>
      <c r="D19" t="s">
        <v>1151</v>
      </c>
      <c r="E19" t="s">
        <v>1152</v>
      </c>
      <c r="F19" t="s">
        <v>189</v>
      </c>
      <c r="I19" t="s">
        <v>1153</v>
      </c>
      <c r="J19" t="s">
        <v>1149</v>
      </c>
    </row>
    <row r="20" spans="1:12" x14ac:dyDescent="0.25">
      <c r="A20">
        <v>19</v>
      </c>
      <c r="B20" t="s">
        <v>1070</v>
      </c>
      <c r="C20" t="s">
        <v>1154</v>
      </c>
      <c r="D20" t="s">
        <v>1155</v>
      </c>
      <c r="E20" t="s">
        <v>1156</v>
      </c>
      <c r="F20" t="s">
        <v>189</v>
      </c>
      <c r="I20" t="s">
        <v>1157</v>
      </c>
      <c r="J20" t="s">
        <v>1149</v>
      </c>
    </row>
    <row r="21" spans="1:12" ht="60" x14ac:dyDescent="0.25">
      <c r="A21" t="s">
        <v>1158</v>
      </c>
      <c r="B21" t="s">
        <v>1070</v>
      </c>
      <c r="C21" t="s">
        <v>1159</v>
      </c>
      <c r="D21" s="11" t="s">
        <v>1160</v>
      </c>
      <c r="E21" t="s">
        <v>1161</v>
      </c>
      <c r="F21" t="s">
        <v>189</v>
      </c>
      <c r="I21" t="s">
        <v>1162</v>
      </c>
      <c r="J21" t="s">
        <v>1149</v>
      </c>
      <c r="L21" t="s">
        <v>1089</v>
      </c>
    </row>
    <row r="22" spans="1:12" x14ac:dyDescent="0.25">
      <c r="A22" t="s">
        <v>1163</v>
      </c>
      <c r="B22" t="s">
        <v>1070</v>
      </c>
      <c r="C22" t="s">
        <v>280</v>
      </c>
      <c r="D22" t="s">
        <v>1164</v>
      </c>
      <c r="E22" t="s">
        <v>1165</v>
      </c>
      <c r="F22" t="s">
        <v>189</v>
      </c>
      <c r="I22" t="s">
        <v>1166</v>
      </c>
      <c r="J22" t="s">
        <v>1149</v>
      </c>
    </row>
    <row r="23" spans="1:12" x14ac:dyDescent="0.25">
      <c r="A23" t="s">
        <v>1167</v>
      </c>
      <c r="B23" t="s">
        <v>1070</v>
      </c>
      <c r="C23" t="s">
        <v>280</v>
      </c>
      <c r="D23" t="s">
        <v>1168</v>
      </c>
      <c r="E23" t="s">
        <v>1169</v>
      </c>
      <c r="F23" t="s">
        <v>189</v>
      </c>
      <c r="I23" t="s">
        <v>1170</v>
      </c>
      <c r="J23" t="s">
        <v>1149</v>
      </c>
    </row>
    <row r="24" spans="1:12" x14ac:dyDescent="0.25">
      <c r="A24">
        <v>23</v>
      </c>
      <c r="B24" t="s">
        <v>1070</v>
      </c>
      <c r="C24" t="s">
        <v>1171</v>
      </c>
      <c r="D24" t="s">
        <v>1172</v>
      </c>
      <c r="E24" t="s">
        <v>1173</v>
      </c>
      <c r="F24" t="s">
        <v>1174</v>
      </c>
      <c r="I24" t="s">
        <v>1175</v>
      </c>
      <c r="J24" t="s">
        <v>1149</v>
      </c>
    </row>
    <row r="25" spans="1:12" x14ac:dyDescent="0.25">
      <c r="A25" t="s">
        <v>1176</v>
      </c>
      <c r="B25" t="s">
        <v>1070</v>
      </c>
      <c r="C25" t="s">
        <v>1177</v>
      </c>
      <c r="D25" t="s">
        <v>1178</v>
      </c>
      <c r="E25" t="s">
        <v>1179</v>
      </c>
      <c r="F25" t="s">
        <v>189</v>
      </c>
      <c r="I25" t="s">
        <v>1180</v>
      </c>
      <c r="J25" t="s">
        <v>1149</v>
      </c>
    </row>
    <row r="26" spans="1:12" x14ac:dyDescent="0.25">
      <c r="A26" t="s">
        <v>1181</v>
      </c>
      <c r="B26" t="s">
        <v>1070</v>
      </c>
      <c r="C26" t="s">
        <v>280</v>
      </c>
      <c r="D26" t="s">
        <v>1182</v>
      </c>
      <c r="E26" t="s">
        <v>1183</v>
      </c>
      <c r="F26" t="s">
        <v>189</v>
      </c>
      <c r="I26" t="s">
        <v>1184</v>
      </c>
      <c r="J26" t="s">
        <v>1149</v>
      </c>
    </row>
    <row r="27" spans="1:12" x14ac:dyDescent="0.25">
      <c r="A27" t="s">
        <v>1185</v>
      </c>
      <c r="B27" t="s">
        <v>1070</v>
      </c>
      <c r="C27" t="s">
        <v>1186</v>
      </c>
      <c r="D27" t="s">
        <v>1187</v>
      </c>
      <c r="E27" t="s">
        <v>1188</v>
      </c>
      <c r="F27" t="s">
        <v>189</v>
      </c>
      <c r="I27" t="s">
        <v>1189</v>
      </c>
      <c r="J27" t="s">
        <v>1149</v>
      </c>
    </row>
    <row r="28" spans="1:12" x14ac:dyDescent="0.25">
      <c r="A28">
        <v>27</v>
      </c>
      <c r="B28" t="s">
        <v>1070</v>
      </c>
      <c r="C28" t="s">
        <v>1190</v>
      </c>
      <c r="D28" t="s">
        <v>1191</v>
      </c>
      <c r="E28" t="s">
        <v>1192</v>
      </c>
      <c r="F28" t="s">
        <v>189</v>
      </c>
      <c r="I28" t="s">
        <v>1193</v>
      </c>
      <c r="J28" t="s">
        <v>1149</v>
      </c>
    </row>
    <row r="29" spans="1:12" x14ac:dyDescent="0.25">
      <c r="A29" t="s">
        <v>1194</v>
      </c>
      <c r="B29" t="s">
        <v>1070</v>
      </c>
      <c r="C29" t="s">
        <v>757</v>
      </c>
      <c r="D29" t="s">
        <v>1195</v>
      </c>
      <c r="E29" t="s">
        <v>1196</v>
      </c>
      <c r="F29" t="s">
        <v>189</v>
      </c>
      <c r="J29" t="s">
        <v>1197</v>
      </c>
    </row>
    <row r="30" spans="1:12" ht="120" x14ac:dyDescent="0.25">
      <c r="A30" t="s">
        <v>1198</v>
      </c>
      <c r="B30" t="s">
        <v>1070</v>
      </c>
      <c r="C30" t="s">
        <v>208</v>
      </c>
      <c r="D30" s="11" t="s">
        <v>1199</v>
      </c>
      <c r="E30" t="s">
        <v>1200</v>
      </c>
      <c r="F30" t="s">
        <v>189</v>
      </c>
      <c r="I30" s="11" t="s">
        <v>1201</v>
      </c>
      <c r="J30" t="s">
        <v>1202</v>
      </c>
      <c r="L30" t="s">
        <v>1089</v>
      </c>
    </row>
    <row r="31" spans="1:12" x14ac:dyDescent="0.25">
      <c r="A31" t="s">
        <v>1203</v>
      </c>
      <c r="B31" t="s">
        <v>1070</v>
      </c>
      <c r="C31" t="s">
        <v>324</v>
      </c>
      <c r="D31" t="s">
        <v>1204</v>
      </c>
      <c r="E31" t="s">
        <v>1205</v>
      </c>
      <c r="F31" t="s">
        <v>189</v>
      </c>
      <c r="I31" t="s">
        <v>1206</v>
      </c>
      <c r="J31" t="s">
        <v>1207</v>
      </c>
    </row>
    <row r="32" spans="1:12" x14ac:dyDescent="0.25">
      <c r="A32" t="s">
        <v>1208</v>
      </c>
      <c r="B32" t="s">
        <v>1070</v>
      </c>
      <c r="C32" t="s">
        <v>201</v>
      </c>
      <c r="D32" t="s">
        <v>1209</v>
      </c>
      <c r="E32" t="s">
        <v>1210</v>
      </c>
      <c r="F32" t="s">
        <v>189</v>
      </c>
      <c r="I32" t="s">
        <v>1211</v>
      </c>
      <c r="J32" t="s">
        <v>1212</v>
      </c>
      <c r="L32" t="s">
        <v>1213</v>
      </c>
    </row>
    <row r="33" spans="1:12" ht="45" x14ac:dyDescent="0.25">
      <c r="A33" t="s">
        <v>1214</v>
      </c>
      <c r="B33" t="s">
        <v>1215</v>
      </c>
      <c r="C33" t="s">
        <v>208</v>
      </c>
      <c r="D33" s="11" t="s">
        <v>1216</v>
      </c>
      <c r="E33" t="s">
        <v>1217</v>
      </c>
      <c r="F33" t="s">
        <v>189</v>
      </c>
      <c r="I33" t="s">
        <v>1218</v>
      </c>
      <c r="J33" t="s">
        <v>1219</v>
      </c>
    </row>
    <row r="34" spans="1:12" ht="165" x14ac:dyDescent="0.25">
      <c r="A34" t="s">
        <v>1220</v>
      </c>
      <c r="B34" t="s">
        <v>1215</v>
      </c>
      <c r="C34" t="s">
        <v>649</v>
      </c>
      <c r="D34" s="11" t="s">
        <v>1221</v>
      </c>
      <c r="E34" t="s">
        <v>1222</v>
      </c>
      <c r="F34" t="s">
        <v>189</v>
      </c>
      <c r="I34" s="11" t="s">
        <v>1223</v>
      </c>
      <c r="J34" t="s">
        <v>1224</v>
      </c>
      <c r="L34" t="s">
        <v>1225</v>
      </c>
    </row>
    <row r="35" spans="1:12" ht="60" x14ac:dyDescent="0.25">
      <c r="A35" t="s">
        <v>1226</v>
      </c>
      <c r="B35" t="s">
        <v>1215</v>
      </c>
      <c r="C35" t="s">
        <v>215</v>
      </c>
      <c r="D35" s="11" t="s">
        <v>1227</v>
      </c>
      <c r="E35" t="s">
        <v>1228</v>
      </c>
      <c r="F35" t="s">
        <v>189</v>
      </c>
      <c r="I35" t="s">
        <v>1229</v>
      </c>
      <c r="J35" t="s">
        <v>1230</v>
      </c>
      <c r="L35" t="s">
        <v>1089</v>
      </c>
    </row>
    <row r="36" spans="1:12" ht="45" x14ac:dyDescent="0.25">
      <c r="A36" t="s">
        <v>1231</v>
      </c>
      <c r="B36" t="s">
        <v>1215</v>
      </c>
      <c r="C36" t="s">
        <v>1232</v>
      </c>
      <c r="D36" s="11" t="s">
        <v>1233</v>
      </c>
      <c r="E36" t="s">
        <v>1234</v>
      </c>
      <c r="F36" t="s">
        <v>189</v>
      </c>
      <c r="I36" t="s">
        <v>1235</v>
      </c>
      <c r="J36" t="s">
        <v>1236</v>
      </c>
    </row>
    <row r="37" spans="1:12" x14ac:dyDescent="0.25">
      <c r="A37" t="s">
        <v>1237</v>
      </c>
      <c r="B37" t="s">
        <v>1215</v>
      </c>
      <c r="C37" t="s">
        <v>1232</v>
      </c>
      <c r="D37" t="s">
        <v>1238</v>
      </c>
      <c r="E37" t="s">
        <v>1239</v>
      </c>
      <c r="F37" t="s">
        <v>189</v>
      </c>
      <c r="I37" t="s">
        <v>1240</v>
      </c>
      <c r="J37" t="s">
        <v>1241</v>
      </c>
    </row>
    <row r="38" spans="1:12" ht="90" x14ac:dyDescent="0.25">
      <c r="A38" t="s">
        <v>1242</v>
      </c>
      <c r="B38" t="s">
        <v>1215</v>
      </c>
      <c r="C38" t="s">
        <v>194</v>
      </c>
      <c r="D38" s="11" t="s">
        <v>1243</v>
      </c>
      <c r="E38" t="s">
        <v>1244</v>
      </c>
      <c r="F38" t="s">
        <v>189</v>
      </c>
      <c r="I38" t="s">
        <v>1245</v>
      </c>
      <c r="J38" t="s">
        <v>1246</v>
      </c>
    </row>
    <row r="39" spans="1:12" x14ac:dyDescent="0.25">
      <c r="A39" t="s">
        <v>1247</v>
      </c>
      <c r="B39" t="s">
        <v>1215</v>
      </c>
      <c r="C39" t="s">
        <v>319</v>
      </c>
      <c r="D39" t="s">
        <v>1248</v>
      </c>
      <c r="E39" t="s">
        <v>1249</v>
      </c>
      <c r="F39" t="s">
        <v>189</v>
      </c>
      <c r="I39" t="s">
        <v>1250</v>
      </c>
      <c r="J39" t="s">
        <v>1251</v>
      </c>
    </row>
    <row r="40" spans="1:12" x14ac:dyDescent="0.25">
      <c r="A40" t="s">
        <v>1252</v>
      </c>
      <c r="B40" t="s">
        <v>1215</v>
      </c>
      <c r="C40" t="s">
        <v>331</v>
      </c>
      <c r="D40" t="s">
        <v>1253</v>
      </c>
      <c r="E40" t="s">
        <v>1254</v>
      </c>
      <c r="F40" t="s">
        <v>189</v>
      </c>
      <c r="I40" t="s">
        <v>1255</v>
      </c>
      <c r="J40" t="s">
        <v>1256</v>
      </c>
    </row>
    <row r="41" spans="1:12" x14ac:dyDescent="0.25">
      <c r="A41" t="s">
        <v>1257</v>
      </c>
      <c r="B41" t="s">
        <v>1215</v>
      </c>
      <c r="C41" t="s">
        <v>304</v>
      </c>
      <c r="D41" t="s">
        <v>1258</v>
      </c>
      <c r="E41" t="s">
        <v>1259</v>
      </c>
      <c r="F41" t="s">
        <v>189</v>
      </c>
      <c r="I41" t="s">
        <v>1260</v>
      </c>
      <c r="J41" t="s">
        <v>1261</v>
      </c>
    </row>
    <row r="42" spans="1:12" x14ac:dyDescent="0.25">
      <c r="A42" t="s">
        <v>1262</v>
      </c>
      <c r="B42" t="s">
        <v>1215</v>
      </c>
      <c r="C42" t="s">
        <v>757</v>
      </c>
      <c r="D42" t="s">
        <v>1263</v>
      </c>
      <c r="E42" t="s">
        <v>1264</v>
      </c>
      <c r="F42" t="s">
        <v>189</v>
      </c>
      <c r="I42" t="s">
        <v>1265</v>
      </c>
      <c r="J42" t="s">
        <v>1266</v>
      </c>
    </row>
    <row r="43" spans="1:12" x14ac:dyDescent="0.25">
      <c r="A43" t="s">
        <v>1267</v>
      </c>
      <c r="B43" t="s">
        <v>1215</v>
      </c>
      <c r="C43" t="s">
        <v>1061</v>
      </c>
      <c r="D43" t="s">
        <v>1268</v>
      </c>
      <c r="E43" t="s">
        <v>1269</v>
      </c>
      <c r="F43" t="s">
        <v>189</v>
      </c>
      <c r="I43" t="s">
        <v>1270</v>
      </c>
      <c r="J43" t="s">
        <v>1271</v>
      </c>
    </row>
    <row r="44" spans="1:12" x14ac:dyDescent="0.25">
      <c r="A44">
        <v>43</v>
      </c>
      <c r="B44" t="s">
        <v>1215</v>
      </c>
      <c r="C44" t="s">
        <v>921</v>
      </c>
      <c r="D44" t="s">
        <v>1272</v>
      </c>
      <c r="E44" t="s">
        <v>1273</v>
      </c>
      <c r="F44" t="s">
        <v>189</v>
      </c>
      <c r="I44" t="s">
        <v>1274</v>
      </c>
      <c r="J44" t="s">
        <v>1275</v>
      </c>
    </row>
    <row r="45" spans="1:12" ht="60" x14ac:dyDescent="0.25">
      <c r="A45" t="s">
        <v>1276</v>
      </c>
      <c r="B45" t="s">
        <v>1215</v>
      </c>
      <c r="C45" t="s">
        <v>925</v>
      </c>
      <c r="D45" s="11" t="s">
        <v>1277</v>
      </c>
      <c r="E45" t="s">
        <v>1278</v>
      </c>
      <c r="F45" t="s">
        <v>189</v>
      </c>
      <c r="I45" t="s">
        <v>1279</v>
      </c>
      <c r="J45" t="s">
        <v>1280</v>
      </c>
    </row>
    <row r="46" spans="1:12" ht="135" x14ac:dyDescent="0.25">
      <c r="A46" t="s">
        <v>1281</v>
      </c>
      <c r="B46" t="s">
        <v>1215</v>
      </c>
      <c r="C46" t="s">
        <v>201</v>
      </c>
      <c r="D46" s="11" t="s">
        <v>1282</v>
      </c>
      <c r="E46" t="s">
        <v>1283</v>
      </c>
      <c r="F46" t="s">
        <v>189</v>
      </c>
      <c r="I46" s="11" t="s">
        <v>1284</v>
      </c>
      <c r="J46" t="s">
        <v>1285</v>
      </c>
    </row>
    <row r="47" spans="1:12" ht="165" x14ac:dyDescent="0.25">
      <c r="A47" t="s">
        <v>1286</v>
      </c>
      <c r="B47" t="s">
        <v>1215</v>
      </c>
      <c r="C47" t="s">
        <v>324</v>
      </c>
      <c r="D47" s="11" t="s">
        <v>1287</v>
      </c>
      <c r="E47" t="s">
        <v>1288</v>
      </c>
      <c r="F47" t="s">
        <v>189</v>
      </c>
      <c r="I47" s="11" t="s">
        <v>1289</v>
      </c>
      <c r="J47" t="s">
        <v>1290</v>
      </c>
    </row>
    <row r="48" spans="1:12" x14ac:dyDescent="0.25">
      <c r="A48" t="s">
        <v>1291</v>
      </c>
      <c r="B48" t="s">
        <v>1292</v>
      </c>
      <c r="C48" t="s">
        <v>1293</v>
      </c>
      <c r="D48" t="s">
        <v>1294</v>
      </c>
      <c r="E48" t="s">
        <v>159</v>
      </c>
      <c r="F48" t="s">
        <v>189</v>
      </c>
      <c r="I48" t="s">
        <v>1295</v>
      </c>
      <c r="J48" t="s">
        <v>1296</v>
      </c>
    </row>
    <row r="49" spans="1:10" x14ac:dyDescent="0.25">
      <c r="A49" t="s">
        <v>1297</v>
      </c>
      <c r="B49" t="s">
        <v>1292</v>
      </c>
      <c r="C49" t="s">
        <v>215</v>
      </c>
      <c r="D49" t="s">
        <v>1298</v>
      </c>
      <c r="E49" t="s">
        <v>1299</v>
      </c>
      <c r="F49" t="s">
        <v>189</v>
      </c>
      <c r="I49" t="s">
        <v>1300</v>
      </c>
      <c r="J49" t="s">
        <v>1301</v>
      </c>
    </row>
    <row r="50" spans="1:10" x14ac:dyDescent="0.25">
      <c r="A50" t="s">
        <v>1302</v>
      </c>
      <c r="B50" t="s">
        <v>1292</v>
      </c>
      <c r="C50" t="s">
        <v>215</v>
      </c>
      <c r="D50" t="s">
        <v>1303</v>
      </c>
      <c r="E50" t="s">
        <v>1304</v>
      </c>
      <c r="F50" t="s">
        <v>189</v>
      </c>
      <c r="I50" t="s">
        <v>1305</v>
      </c>
      <c r="J50" t="s">
        <v>1306</v>
      </c>
    </row>
    <row r="51" spans="1:10" x14ac:dyDescent="0.25">
      <c r="A51" t="s">
        <v>1307</v>
      </c>
      <c r="B51" t="s">
        <v>1292</v>
      </c>
      <c r="C51" t="s">
        <v>215</v>
      </c>
      <c r="D51" t="s">
        <v>1308</v>
      </c>
      <c r="E51" t="s">
        <v>1304</v>
      </c>
      <c r="F51" t="s">
        <v>189</v>
      </c>
      <c r="I51" t="s">
        <v>1309</v>
      </c>
      <c r="J51" t="s">
        <v>1310</v>
      </c>
    </row>
    <row r="52" spans="1:10" x14ac:dyDescent="0.25">
      <c r="A52" t="s">
        <v>1311</v>
      </c>
      <c r="B52" t="s">
        <v>1292</v>
      </c>
      <c r="C52" t="s">
        <v>435</v>
      </c>
      <c r="D52" t="s">
        <v>1312</v>
      </c>
      <c r="E52" t="s">
        <v>1313</v>
      </c>
      <c r="F52" t="s">
        <v>189</v>
      </c>
      <c r="J52" t="s">
        <v>1314</v>
      </c>
    </row>
    <row r="53" spans="1:10" x14ac:dyDescent="0.25">
      <c r="A53" t="s">
        <v>1315</v>
      </c>
      <c r="B53" t="s">
        <v>1292</v>
      </c>
      <c r="C53" t="s">
        <v>201</v>
      </c>
      <c r="D53" t="s">
        <v>1316</v>
      </c>
      <c r="E53" t="s">
        <v>1317</v>
      </c>
      <c r="F53" t="s">
        <v>189</v>
      </c>
      <c r="I53" t="s">
        <v>1318</v>
      </c>
      <c r="J53" t="s">
        <v>1319</v>
      </c>
    </row>
    <row r="54" spans="1:10" ht="150" x14ac:dyDescent="0.25">
      <c r="A54" t="s">
        <v>1320</v>
      </c>
      <c r="B54" t="s">
        <v>1292</v>
      </c>
      <c r="C54" t="s">
        <v>215</v>
      </c>
      <c r="D54" t="s">
        <v>1321</v>
      </c>
      <c r="E54" t="s">
        <v>1304</v>
      </c>
      <c r="F54" t="s">
        <v>189</v>
      </c>
      <c r="I54" s="11" t="s">
        <v>1322</v>
      </c>
      <c r="J54" t="s">
        <v>1323</v>
      </c>
    </row>
    <row r="55" spans="1:10" x14ac:dyDescent="0.25">
      <c r="A55" t="s">
        <v>1324</v>
      </c>
      <c r="B55" t="s">
        <v>1292</v>
      </c>
      <c r="C55" t="s">
        <v>564</v>
      </c>
      <c r="D55" t="s">
        <v>1325</v>
      </c>
      <c r="E55" t="s">
        <v>1326</v>
      </c>
      <c r="F55" t="s">
        <v>189</v>
      </c>
      <c r="I55" t="s">
        <v>1327</v>
      </c>
      <c r="J55" t="s">
        <v>1328</v>
      </c>
    </row>
    <row r="56" spans="1:10" x14ac:dyDescent="0.25">
      <c r="A56">
        <v>48</v>
      </c>
      <c r="B56" t="s">
        <v>1292</v>
      </c>
      <c r="C56" t="s">
        <v>215</v>
      </c>
      <c r="D56" t="s">
        <v>1329</v>
      </c>
      <c r="E56" t="s">
        <v>1330</v>
      </c>
      <c r="F56" t="s">
        <v>189</v>
      </c>
      <c r="I56" t="s">
        <v>1331</v>
      </c>
      <c r="J56" t="s">
        <v>1332</v>
      </c>
    </row>
    <row r="57" spans="1:10" x14ac:dyDescent="0.25">
      <c r="A57">
        <v>56</v>
      </c>
    </row>
    <row r="58" spans="1:10" x14ac:dyDescent="0.25">
      <c r="A58">
        <v>57</v>
      </c>
      <c r="C58" t="s">
        <v>804</v>
      </c>
      <c r="D58" t="s">
        <v>1333</v>
      </c>
      <c r="E58" t="s">
        <v>1334</v>
      </c>
    </row>
    <row r="59" spans="1:10" x14ac:dyDescent="0.25">
      <c r="A59">
        <v>58</v>
      </c>
      <c r="D59" t="s">
        <v>807</v>
      </c>
      <c r="E59" t="s">
        <v>1335</v>
      </c>
    </row>
    <row r="60" spans="1:10" x14ac:dyDescent="0.25">
      <c r="A60">
        <v>59</v>
      </c>
    </row>
    <row r="61" spans="1:10" x14ac:dyDescent="0.25">
      <c r="A61">
        <v>60</v>
      </c>
    </row>
    <row r="62" spans="1:10" x14ac:dyDescent="0.25">
      <c r="A62">
        <v>61</v>
      </c>
    </row>
    <row r="63" spans="1:10" x14ac:dyDescent="0.25">
      <c r="A63">
        <v>62</v>
      </c>
    </row>
    <row r="64" spans="1:10" x14ac:dyDescent="0.25">
      <c r="A64">
        <v>63</v>
      </c>
    </row>
    <row r="65" spans="1:1" x14ac:dyDescent="0.25">
      <c r="A65" t="s">
        <v>1336</v>
      </c>
    </row>
    <row r="66" spans="1:1" x14ac:dyDescent="0.25">
      <c r="A66" t="s">
        <v>1337</v>
      </c>
    </row>
    <row r="67" spans="1:1" x14ac:dyDescent="0.25">
      <c r="A67" t="s">
        <v>1338</v>
      </c>
    </row>
    <row r="68" spans="1:1" x14ac:dyDescent="0.25">
      <c r="A68" t="s">
        <v>1339</v>
      </c>
    </row>
    <row r="69" spans="1:1" x14ac:dyDescent="0.25">
      <c r="A69" t="s">
        <v>1340</v>
      </c>
    </row>
    <row r="70" spans="1:1" x14ac:dyDescent="0.25">
      <c r="A70" t="s">
        <v>1341</v>
      </c>
    </row>
    <row r="71" spans="1:1" x14ac:dyDescent="0.25">
      <c r="A71" t="s">
        <v>1342</v>
      </c>
    </row>
    <row r="72" spans="1:1" x14ac:dyDescent="0.25">
      <c r="A72" t="s">
        <v>1343</v>
      </c>
    </row>
    <row r="73" spans="1:1" x14ac:dyDescent="0.25">
      <c r="A73" t="s">
        <v>1344</v>
      </c>
    </row>
    <row r="74" spans="1:1" x14ac:dyDescent="0.25">
      <c r="A74" t="s">
        <v>1345</v>
      </c>
    </row>
    <row r="75" spans="1:1" x14ac:dyDescent="0.25">
      <c r="A75" t="s">
        <v>1346</v>
      </c>
    </row>
    <row r="76" spans="1:1" x14ac:dyDescent="0.25">
      <c r="A76" t="s">
        <v>1347</v>
      </c>
    </row>
    <row r="77" spans="1:1" x14ac:dyDescent="0.25">
      <c r="A77" t="s">
        <v>1348</v>
      </c>
    </row>
    <row r="78" spans="1:1" x14ac:dyDescent="0.25">
      <c r="A78" t="s">
        <v>1349</v>
      </c>
    </row>
    <row r="79" spans="1:1" x14ac:dyDescent="0.25">
      <c r="A79" t="s">
        <v>1350</v>
      </c>
    </row>
    <row r="80" spans="1:1" x14ac:dyDescent="0.25">
      <c r="A80" t="s">
        <v>1351</v>
      </c>
    </row>
    <row r="81" spans="1:1" x14ac:dyDescent="0.25">
      <c r="A81" t="s">
        <v>1352</v>
      </c>
    </row>
    <row r="82" spans="1:1" x14ac:dyDescent="0.25">
      <c r="A82" t="s">
        <v>1353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7"/>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x14ac:dyDescent="0.25">
      <c r="A2">
        <v>1</v>
      </c>
      <c r="B2">
        <v>2021</v>
      </c>
      <c r="C2" t="s">
        <v>324</v>
      </c>
      <c r="D2" t="s">
        <v>1354</v>
      </c>
      <c r="E2" t="s">
        <v>1355</v>
      </c>
      <c r="F2" t="s">
        <v>189</v>
      </c>
      <c r="J2" t="s">
        <v>1356</v>
      </c>
    </row>
    <row r="3" spans="1:12" ht="90" x14ac:dyDescent="0.25">
      <c r="A3">
        <v>2</v>
      </c>
      <c r="B3">
        <v>2021</v>
      </c>
      <c r="C3" t="s">
        <v>324</v>
      </c>
      <c r="D3" s="11" t="s">
        <v>1357</v>
      </c>
      <c r="E3" t="s">
        <v>84</v>
      </c>
      <c r="F3" t="s">
        <v>189</v>
      </c>
      <c r="J3" t="s">
        <v>1358</v>
      </c>
    </row>
    <row r="4" spans="1:12" x14ac:dyDescent="0.25">
      <c r="A4">
        <v>3</v>
      </c>
      <c r="B4">
        <v>2021</v>
      </c>
      <c r="C4" t="s">
        <v>757</v>
      </c>
      <c r="D4" t="s">
        <v>1359</v>
      </c>
      <c r="E4" t="s">
        <v>1360</v>
      </c>
      <c r="F4" t="s">
        <v>189</v>
      </c>
      <c r="J4" t="s">
        <v>1361</v>
      </c>
    </row>
    <row r="5" spans="1:12" x14ac:dyDescent="0.25">
      <c r="A5">
        <v>4</v>
      </c>
      <c r="B5">
        <v>2021</v>
      </c>
      <c r="C5" t="s">
        <v>201</v>
      </c>
      <c r="D5" t="s">
        <v>1362</v>
      </c>
      <c r="E5" t="s">
        <v>1363</v>
      </c>
      <c r="F5" t="s">
        <v>189</v>
      </c>
      <c r="J5" t="s">
        <v>1364</v>
      </c>
    </row>
    <row r="6" spans="1:12" x14ac:dyDescent="0.25">
      <c r="A6">
        <v>5</v>
      </c>
      <c r="B6">
        <v>2021</v>
      </c>
      <c r="C6" t="s">
        <v>925</v>
      </c>
      <c r="D6" t="s">
        <v>1365</v>
      </c>
      <c r="E6" t="s">
        <v>1366</v>
      </c>
      <c r="F6" t="s">
        <v>1367</v>
      </c>
      <c r="J6" t="s">
        <v>1368</v>
      </c>
    </row>
    <row r="7" spans="1:12" x14ac:dyDescent="0.25">
      <c r="A7">
        <v>6</v>
      </c>
      <c r="B7">
        <v>2021</v>
      </c>
      <c r="C7" t="s">
        <v>259</v>
      </c>
      <c r="D7" t="s">
        <v>1369</v>
      </c>
      <c r="E7" t="s">
        <v>1370</v>
      </c>
      <c r="F7" t="s">
        <v>189</v>
      </c>
      <c r="J7" t="s">
        <v>1371</v>
      </c>
    </row>
    <row r="8" spans="1:12" x14ac:dyDescent="0.25">
      <c r="A8">
        <v>7</v>
      </c>
      <c r="B8">
        <v>2021</v>
      </c>
      <c r="C8" t="s">
        <v>259</v>
      </c>
      <c r="D8" t="s">
        <v>1372</v>
      </c>
      <c r="E8" t="s">
        <v>1373</v>
      </c>
      <c r="F8" t="s">
        <v>189</v>
      </c>
      <c r="J8" t="s">
        <v>1374</v>
      </c>
    </row>
    <row r="9" spans="1:12" x14ac:dyDescent="0.25">
      <c r="A9">
        <v>8</v>
      </c>
      <c r="B9">
        <v>2021</v>
      </c>
      <c r="C9" t="s">
        <v>232</v>
      </c>
      <c r="D9" t="s">
        <v>1375</v>
      </c>
      <c r="E9" t="s">
        <v>1376</v>
      </c>
      <c r="F9" t="s">
        <v>189</v>
      </c>
      <c r="J9" t="s">
        <v>1377</v>
      </c>
    </row>
    <row r="10" spans="1:12" x14ac:dyDescent="0.25">
      <c r="A10">
        <v>9</v>
      </c>
      <c r="B10">
        <v>2021</v>
      </c>
      <c r="C10" t="s">
        <v>1378</v>
      </c>
      <c r="D10" t="s">
        <v>1379</v>
      </c>
      <c r="E10" t="s">
        <v>159</v>
      </c>
      <c r="F10" t="s">
        <v>189</v>
      </c>
      <c r="J10" t="s">
        <v>1380</v>
      </c>
    </row>
    <row r="11" spans="1:12" x14ac:dyDescent="0.25">
      <c r="A11">
        <v>10</v>
      </c>
      <c r="B11">
        <v>2021</v>
      </c>
      <c r="C11" t="s">
        <v>232</v>
      </c>
      <c r="D11" t="s">
        <v>1381</v>
      </c>
      <c r="E11" t="s">
        <v>1382</v>
      </c>
      <c r="F11" t="s">
        <v>189</v>
      </c>
      <c r="J11" t="s">
        <v>1383</v>
      </c>
    </row>
    <row r="12" spans="1:12" x14ac:dyDescent="0.25">
      <c r="A12">
        <v>11</v>
      </c>
      <c r="B12">
        <v>2021</v>
      </c>
      <c r="C12" t="s">
        <v>324</v>
      </c>
      <c r="D12" t="s">
        <v>1384</v>
      </c>
      <c r="E12" t="s">
        <v>1385</v>
      </c>
      <c r="F12" t="s">
        <v>189</v>
      </c>
      <c r="J12" t="s">
        <v>1386</v>
      </c>
    </row>
    <row r="13" spans="1:12" ht="60" x14ac:dyDescent="0.25">
      <c r="A13">
        <v>12</v>
      </c>
      <c r="B13">
        <v>2021</v>
      </c>
      <c r="C13" t="s">
        <v>324</v>
      </c>
      <c r="D13" s="11" t="s">
        <v>1387</v>
      </c>
      <c r="E13" t="s">
        <v>1388</v>
      </c>
      <c r="F13" t="s">
        <v>189</v>
      </c>
      <c r="J13" t="s">
        <v>1389</v>
      </c>
    </row>
    <row r="14" spans="1:12" ht="30" x14ac:dyDescent="0.25">
      <c r="A14">
        <v>13</v>
      </c>
      <c r="B14">
        <v>2021</v>
      </c>
      <c r="C14" t="s">
        <v>463</v>
      </c>
      <c r="D14" s="11" t="s">
        <v>1390</v>
      </c>
      <c r="E14" t="s">
        <v>1391</v>
      </c>
      <c r="F14" t="s">
        <v>1392</v>
      </c>
      <c r="J14" t="s">
        <v>1393</v>
      </c>
    </row>
    <row r="15" spans="1:12" x14ac:dyDescent="0.25">
      <c r="A15">
        <v>14</v>
      </c>
      <c r="B15">
        <v>2021</v>
      </c>
      <c r="C15" t="s">
        <v>331</v>
      </c>
      <c r="D15" t="s">
        <v>1394</v>
      </c>
      <c r="E15" t="s">
        <v>1395</v>
      </c>
      <c r="F15" t="s">
        <v>189</v>
      </c>
      <c r="J15" t="s">
        <v>1396</v>
      </c>
    </row>
    <row r="16" spans="1:12" x14ac:dyDescent="0.25">
      <c r="A16">
        <v>15</v>
      </c>
      <c r="B16">
        <v>2021</v>
      </c>
      <c r="C16" t="s">
        <v>649</v>
      </c>
      <c r="D16" t="s">
        <v>1397</v>
      </c>
      <c r="E16" t="s">
        <v>1398</v>
      </c>
      <c r="F16" t="s">
        <v>189</v>
      </c>
      <c r="J16" t="s">
        <v>1399</v>
      </c>
    </row>
    <row r="17" spans="1:10" x14ac:dyDescent="0.25">
      <c r="A17">
        <v>16</v>
      </c>
      <c r="B17">
        <v>2021</v>
      </c>
      <c r="C17" t="s">
        <v>1400</v>
      </c>
      <c r="D17" t="s">
        <v>1401</v>
      </c>
      <c r="E17" t="s">
        <v>1402</v>
      </c>
      <c r="F17" t="s">
        <v>189</v>
      </c>
      <c r="J17" t="s">
        <v>1403</v>
      </c>
    </row>
    <row r="18" spans="1:10" x14ac:dyDescent="0.25">
      <c r="A18">
        <v>17</v>
      </c>
      <c r="B18">
        <v>2021</v>
      </c>
      <c r="C18" t="s">
        <v>1400</v>
      </c>
      <c r="D18" t="s">
        <v>1404</v>
      </c>
      <c r="E18" t="s">
        <v>1405</v>
      </c>
      <c r="F18" t="s">
        <v>189</v>
      </c>
      <c r="J18" t="s">
        <v>1406</v>
      </c>
    </row>
    <row r="19" spans="1:10" x14ac:dyDescent="0.25">
      <c r="A19">
        <v>18</v>
      </c>
      <c r="B19">
        <v>2021</v>
      </c>
      <c r="C19" t="s">
        <v>1407</v>
      </c>
      <c r="D19" t="s">
        <v>1408</v>
      </c>
      <c r="E19" t="s">
        <v>1409</v>
      </c>
      <c r="F19" t="s">
        <v>189</v>
      </c>
      <c r="J19" t="s">
        <v>1410</v>
      </c>
    </row>
    <row r="20" spans="1:10" x14ac:dyDescent="0.25">
      <c r="A20">
        <v>19</v>
      </c>
      <c r="B20">
        <v>2021</v>
      </c>
      <c r="C20" t="s">
        <v>925</v>
      </c>
      <c r="D20" t="s">
        <v>1411</v>
      </c>
      <c r="E20" t="s">
        <v>1412</v>
      </c>
      <c r="F20" t="s">
        <v>189</v>
      </c>
      <c r="J20" t="s">
        <v>1413</v>
      </c>
    </row>
    <row r="21" spans="1:10" x14ac:dyDescent="0.25">
      <c r="A21">
        <v>20</v>
      </c>
      <c r="B21">
        <v>2021</v>
      </c>
      <c r="C21" t="s">
        <v>1414</v>
      </c>
      <c r="D21" t="s">
        <v>1415</v>
      </c>
      <c r="E21" t="s">
        <v>1416</v>
      </c>
      <c r="F21" t="s">
        <v>189</v>
      </c>
      <c r="J21" t="s">
        <v>1417</v>
      </c>
    </row>
    <row r="22" spans="1:10" x14ac:dyDescent="0.25">
      <c r="A22">
        <v>21</v>
      </c>
      <c r="B22">
        <v>2021</v>
      </c>
      <c r="C22" t="s">
        <v>1418</v>
      </c>
      <c r="D22" t="s">
        <v>1419</v>
      </c>
      <c r="E22" t="s">
        <v>1420</v>
      </c>
      <c r="F22" t="s">
        <v>189</v>
      </c>
      <c r="J22" t="s">
        <v>1421</v>
      </c>
    </row>
    <row r="23" spans="1:10" x14ac:dyDescent="0.25">
      <c r="A23">
        <v>22</v>
      </c>
      <c r="B23">
        <v>2021</v>
      </c>
      <c r="C23" t="s">
        <v>201</v>
      </c>
      <c r="D23" t="s">
        <v>1422</v>
      </c>
      <c r="E23" t="s">
        <v>1423</v>
      </c>
      <c r="F23" t="s">
        <v>189</v>
      </c>
      <c r="J23" t="s">
        <v>1424</v>
      </c>
    </row>
    <row r="24" spans="1:10" x14ac:dyDescent="0.25">
      <c r="A24">
        <v>23</v>
      </c>
      <c r="B24">
        <v>2021</v>
      </c>
      <c r="C24" t="s">
        <v>194</v>
      </c>
      <c r="D24" t="s">
        <v>1425</v>
      </c>
      <c r="E24" t="s">
        <v>1426</v>
      </c>
      <c r="F24" t="s">
        <v>1174</v>
      </c>
      <c r="J24" t="s">
        <v>1427</v>
      </c>
    </row>
    <row r="25" spans="1:10" x14ac:dyDescent="0.25">
      <c r="A25">
        <v>24</v>
      </c>
      <c r="B25">
        <v>2021</v>
      </c>
      <c r="C25" t="s">
        <v>324</v>
      </c>
      <c r="D25" t="s">
        <v>1428</v>
      </c>
      <c r="E25" t="s">
        <v>1429</v>
      </c>
      <c r="F25" t="s">
        <v>189</v>
      </c>
      <c r="J25" t="s">
        <v>1430</v>
      </c>
    </row>
    <row r="26" spans="1:10" x14ac:dyDescent="0.25">
      <c r="A26">
        <v>25</v>
      </c>
      <c r="B26">
        <v>2021</v>
      </c>
      <c r="C26" t="s">
        <v>649</v>
      </c>
      <c r="D26" t="s">
        <v>1431</v>
      </c>
      <c r="E26" t="s">
        <v>1432</v>
      </c>
      <c r="F26" t="s">
        <v>189</v>
      </c>
      <c r="J26" t="s">
        <v>1433</v>
      </c>
    </row>
    <row r="27" spans="1:10" x14ac:dyDescent="0.25">
      <c r="A27">
        <v>26</v>
      </c>
      <c r="B27">
        <v>2021</v>
      </c>
      <c r="C27" t="s">
        <v>1061</v>
      </c>
      <c r="D27" t="s">
        <v>1434</v>
      </c>
      <c r="E27" t="s">
        <v>1435</v>
      </c>
      <c r="F27" t="s">
        <v>189</v>
      </c>
      <c r="J27" t="s">
        <v>1436</v>
      </c>
    </row>
    <row r="28" spans="1:10" x14ac:dyDescent="0.25">
      <c r="A28">
        <v>27</v>
      </c>
      <c r="B28">
        <v>2021</v>
      </c>
      <c r="C28" t="s">
        <v>324</v>
      </c>
      <c r="D28" t="s">
        <v>1437</v>
      </c>
      <c r="E28" t="s">
        <v>84</v>
      </c>
      <c r="F28" t="s">
        <v>189</v>
      </c>
      <c r="J28" t="s">
        <v>1438</v>
      </c>
    </row>
    <row r="29" spans="1:10" ht="90" x14ac:dyDescent="0.25">
      <c r="A29">
        <v>28</v>
      </c>
      <c r="B29">
        <v>2021</v>
      </c>
      <c r="C29" t="s">
        <v>309</v>
      </c>
      <c r="D29" t="s">
        <v>1439</v>
      </c>
      <c r="E29" s="11" t="s">
        <v>1440</v>
      </c>
      <c r="F29" t="s">
        <v>189</v>
      </c>
      <c r="J29" t="s">
        <v>1441</v>
      </c>
    </row>
    <row r="30" spans="1:10" x14ac:dyDescent="0.25">
      <c r="A30">
        <v>29</v>
      </c>
      <c r="B30">
        <v>2021</v>
      </c>
      <c r="C30" t="s">
        <v>331</v>
      </c>
      <c r="D30" t="s">
        <v>1442</v>
      </c>
      <c r="E30" t="s">
        <v>129</v>
      </c>
      <c r="F30" t="s">
        <v>189</v>
      </c>
      <c r="J30" t="s">
        <v>1443</v>
      </c>
    </row>
    <row r="31" spans="1:10" x14ac:dyDescent="0.25">
      <c r="A31">
        <v>30</v>
      </c>
      <c r="B31">
        <v>2021</v>
      </c>
      <c r="C31" t="s">
        <v>194</v>
      </c>
      <c r="D31" t="s">
        <v>1444</v>
      </c>
      <c r="E31" t="s">
        <v>1445</v>
      </c>
      <c r="F31" t="s">
        <v>189</v>
      </c>
      <c r="J31" t="s">
        <v>1446</v>
      </c>
    </row>
    <row r="32" spans="1:10" x14ac:dyDescent="0.25">
      <c r="A32">
        <v>31</v>
      </c>
      <c r="B32">
        <v>2021</v>
      </c>
      <c r="C32" t="s">
        <v>201</v>
      </c>
      <c r="D32" t="s">
        <v>1447</v>
      </c>
      <c r="E32" t="s">
        <v>1448</v>
      </c>
      <c r="F32" t="s">
        <v>189</v>
      </c>
      <c r="J32" t="s">
        <v>1449</v>
      </c>
    </row>
    <row r="33" spans="1:10" x14ac:dyDescent="0.25">
      <c r="A33">
        <v>32</v>
      </c>
      <c r="B33">
        <v>2021</v>
      </c>
      <c r="C33" t="s">
        <v>331</v>
      </c>
      <c r="D33" t="s">
        <v>1450</v>
      </c>
      <c r="E33" t="s">
        <v>137</v>
      </c>
      <c r="F33" t="s">
        <v>189</v>
      </c>
      <c r="J33" t="s">
        <v>1451</v>
      </c>
    </row>
    <row r="34" spans="1:10" x14ac:dyDescent="0.25">
      <c r="A34">
        <v>33</v>
      </c>
      <c r="B34">
        <v>2021</v>
      </c>
      <c r="C34" t="s">
        <v>324</v>
      </c>
      <c r="D34" t="s">
        <v>1452</v>
      </c>
      <c r="E34" t="s">
        <v>1453</v>
      </c>
      <c r="F34" t="s">
        <v>189</v>
      </c>
      <c r="J34" t="s">
        <v>1451</v>
      </c>
    </row>
    <row r="35" spans="1:10" x14ac:dyDescent="0.25">
      <c r="A35">
        <v>34</v>
      </c>
      <c r="B35">
        <v>2021</v>
      </c>
      <c r="C35" t="s">
        <v>1454</v>
      </c>
      <c r="D35" t="s">
        <v>1455</v>
      </c>
      <c r="E35" t="s">
        <v>1456</v>
      </c>
      <c r="F35" t="s">
        <v>189</v>
      </c>
      <c r="J35" t="s">
        <v>1451</v>
      </c>
    </row>
    <row r="36" spans="1:10" x14ac:dyDescent="0.25">
      <c r="A36">
        <v>35</v>
      </c>
      <c r="B36">
        <v>2021</v>
      </c>
      <c r="C36" t="s">
        <v>921</v>
      </c>
      <c r="D36" t="s">
        <v>1457</v>
      </c>
      <c r="E36" t="s">
        <v>1458</v>
      </c>
      <c r="F36" t="s">
        <v>189</v>
      </c>
      <c r="J36" t="s">
        <v>1451</v>
      </c>
    </row>
    <row r="37" spans="1:10" x14ac:dyDescent="0.25">
      <c r="A37">
        <v>36</v>
      </c>
      <c r="B37">
        <v>2021</v>
      </c>
      <c r="C37" t="s">
        <v>1459</v>
      </c>
      <c r="D37" t="s">
        <v>1460</v>
      </c>
      <c r="E37" t="s">
        <v>1461</v>
      </c>
      <c r="F37" t="s">
        <v>189</v>
      </c>
      <c r="J37" t="s">
        <v>1451</v>
      </c>
    </row>
    <row r="38" spans="1:10" ht="45" x14ac:dyDescent="0.25">
      <c r="A38">
        <v>37</v>
      </c>
      <c r="B38">
        <v>2021</v>
      </c>
      <c r="C38" t="s">
        <v>304</v>
      </c>
      <c r="D38" t="s">
        <v>1462</v>
      </c>
      <c r="E38" s="11" t="s">
        <v>1463</v>
      </c>
      <c r="F38" t="s">
        <v>189</v>
      </c>
      <c r="J38" t="s">
        <v>1451</v>
      </c>
    </row>
    <row r="39" spans="1:10" x14ac:dyDescent="0.25">
      <c r="A39">
        <v>38</v>
      </c>
      <c r="B39">
        <v>2021</v>
      </c>
      <c r="C39" t="s">
        <v>215</v>
      </c>
      <c r="D39" t="s">
        <v>1464</v>
      </c>
      <c r="E39" t="s">
        <v>1465</v>
      </c>
      <c r="F39" t="s">
        <v>189</v>
      </c>
      <c r="J39" t="s">
        <v>1466</v>
      </c>
    </row>
    <row r="40" spans="1:10" ht="60" x14ac:dyDescent="0.25">
      <c r="A40">
        <v>39</v>
      </c>
      <c r="B40">
        <v>2021</v>
      </c>
      <c r="C40" t="s">
        <v>1454</v>
      </c>
      <c r="D40" t="s">
        <v>1467</v>
      </c>
      <c r="E40" s="11" t="s">
        <v>1468</v>
      </c>
      <c r="F40" t="s">
        <v>189</v>
      </c>
      <c r="J40" t="s">
        <v>1469</v>
      </c>
    </row>
    <row r="41" spans="1:10" x14ac:dyDescent="0.25">
      <c r="A41">
        <v>40</v>
      </c>
      <c r="B41">
        <v>2021</v>
      </c>
      <c r="C41" t="s">
        <v>194</v>
      </c>
      <c r="D41" t="s">
        <v>1470</v>
      </c>
      <c r="E41" t="s">
        <v>1471</v>
      </c>
      <c r="F41" t="s">
        <v>189</v>
      </c>
      <c r="J41" t="s">
        <v>1472</v>
      </c>
    </row>
    <row r="42" spans="1:10" x14ac:dyDescent="0.25">
      <c r="A42">
        <v>41</v>
      </c>
      <c r="B42">
        <v>2021</v>
      </c>
      <c r="C42" t="s">
        <v>215</v>
      </c>
      <c r="D42" t="s">
        <v>1473</v>
      </c>
      <c r="E42" t="s">
        <v>1474</v>
      </c>
      <c r="F42" t="s">
        <v>189</v>
      </c>
      <c r="J42" t="s">
        <v>1475</v>
      </c>
    </row>
    <row r="43" spans="1:10" x14ac:dyDescent="0.25">
      <c r="A43">
        <v>42</v>
      </c>
      <c r="B43">
        <v>2021</v>
      </c>
      <c r="C43" t="s">
        <v>215</v>
      </c>
      <c r="D43" t="s">
        <v>1476</v>
      </c>
      <c r="E43" t="s">
        <v>1477</v>
      </c>
      <c r="F43" t="s">
        <v>1478</v>
      </c>
      <c r="J43" t="s">
        <v>1479</v>
      </c>
    </row>
    <row r="44" spans="1:10" x14ac:dyDescent="0.25">
      <c r="A44">
        <v>43</v>
      </c>
    </row>
    <row r="45" spans="1:10" x14ac:dyDescent="0.25">
      <c r="A45">
        <v>44</v>
      </c>
    </row>
    <row r="46" spans="1:10" x14ac:dyDescent="0.25">
      <c r="A46">
        <v>45</v>
      </c>
      <c r="C46" t="s">
        <v>804</v>
      </c>
      <c r="D46" t="s">
        <v>805</v>
      </c>
      <c r="E46" t="s">
        <v>806</v>
      </c>
    </row>
    <row r="47" spans="1:10" x14ac:dyDescent="0.25">
      <c r="A47">
        <v>46</v>
      </c>
      <c r="D47" t="s">
        <v>807</v>
      </c>
      <c r="E47" t="s">
        <v>808</v>
      </c>
    </row>
    <row r="48" spans="1:10" x14ac:dyDescent="0.25">
      <c r="A48">
        <v>47</v>
      </c>
    </row>
    <row r="49" spans="1:1" x14ac:dyDescent="0.25">
      <c r="A49">
        <v>48</v>
      </c>
    </row>
    <row r="50" spans="1:1" x14ac:dyDescent="0.25">
      <c r="A50">
        <v>49</v>
      </c>
    </row>
    <row r="51" spans="1:1" x14ac:dyDescent="0.25">
      <c r="A51">
        <v>50</v>
      </c>
    </row>
    <row r="52" spans="1:1" x14ac:dyDescent="0.25">
      <c r="A52">
        <v>51</v>
      </c>
    </row>
    <row r="53" spans="1:1" x14ac:dyDescent="0.25">
      <c r="A53">
        <v>52</v>
      </c>
    </row>
    <row r="54" spans="1:1" x14ac:dyDescent="0.25">
      <c r="A54">
        <v>53</v>
      </c>
    </row>
    <row r="55" spans="1:1" x14ac:dyDescent="0.25">
      <c r="A55">
        <v>54</v>
      </c>
    </row>
    <row r="56" spans="1:1" x14ac:dyDescent="0.25">
      <c r="A56">
        <v>55</v>
      </c>
    </row>
    <row r="57" spans="1:1" x14ac:dyDescent="0.25">
      <c r="A57">
        <v>56</v>
      </c>
    </row>
    <row r="58" spans="1:1" x14ac:dyDescent="0.25">
      <c r="A58">
        <v>57</v>
      </c>
    </row>
    <row r="59" spans="1:1" x14ac:dyDescent="0.25">
      <c r="A59">
        <v>58</v>
      </c>
    </row>
    <row r="60" spans="1:1" x14ac:dyDescent="0.25">
      <c r="A60">
        <v>59</v>
      </c>
    </row>
    <row r="61" spans="1:1" x14ac:dyDescent="0.25">
      <c r="A61">
        <v>60</v>
      </c>
    </row>
    <row r="62" spans="1:1" x14ac:dyDescent="0.25">
      <c r="A62">
        <v>61</v>
      </c>
    </row>
    <row r="63" spans="1:1" x14ac:dyDescent="0.25">
      <c r="A63">
        <v>62</v>
      </c>
    </row>
    <row r="64" spans="1:1" x14ac:dyDescent="0.25">
      <c r="A64">
        <v>63</v>
      </c>
    </row>
    <row r="65" spans="1:1" x14ac:dyDescent="0.25">
      <c r="A65">
        <v>64</v>
      </c>
    </row>
    <row r="66" spans="1:1" x14ac:dyDescent="0.25">
      <c r="A66">
        <v>65</v>
      </c>
    </row>
    <row r="67" spans="1:1" x14ac:dyDescent="0.25">
      <c r="A67">
        <v>66</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71"/>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ht="75" x14ac:dyDescent="0.25">
      <c r="A2">
        <v>1</v>
      </c>
      <c r="B2">
        <v>2020</v>
      </c>
      <c r="C2" t="s">
        <v>1480</v>
      </c>
      <c r="D2" s="11" t="s">
        <v>1481</v>
      </c>
      <c r="E2" t="s">
        <v>1482</v>
      </c>
      <c r="F2" t="s">
        <v>189</v>
      </c>
      <c r="J2" t="s">
        <v>1483</v>
      </c>
    </row>
    <row r="3" spans="1:12" x14ac:dyDescent="0.25">
      <c r="A3">
        <v>2</v>
      </c>
      <c r="B3">
        <v>2020</v>
      </c>
      <c r="C3" t="s">
        <v>324</v>
      </c>
      <c r="D3" t="s">
        <v>1484</v>
      </c>
      <c r="E3" t="s">
        <v>1485</v>
      </c>
      <c r="F3" t="s">
        <v>189</v>
      </c>
      <c r="J3" t="s">
        <v>1486</v>
      </c>
    </row>
    <row r="4" spans="1:12" x14ac:dyDescent="0.25">
      <c r="A4">
        <v>3</v>
      </c>
      <c r="B4">
        <v>2020</v>
      </c>
      <c r="C4" t="s">
        <v>304</v>
      </c>
      <c r="D4" t="s">
        <v>1487</v>
      </c>
      <c r="E4" t="s">
        <v>1488</v>
      </c>
      <c r="F4" t="s">
        <v>189</v>
      </c>
      <c r="J4" t="s">
        <v>1489</v>
      </c>
    </row>
    <row r="5" spans="1:12" ht="75" x14ac:dyDescent="0.25">
      <c r="A5">
        <v>4</v>
      </c>
      <c r="B5">
        <v>2020</v>
      </c>
      <c r="C5" t="s">
        <v>1480</v>
      </c>
      <c r="D5" s="11" t="s">
        <v>1490</v>
      </c>
      <c r="E5" t="s">
        <v>1491</v>
      </c>
      <c r="F5" t="s">
        <v>189</v>
      </c>
      <c r="J5" t="s">
        <v>1492</v>
      </c>
    </row>
    <row r="6" spans="1:12" x14ac:dyDescent="0.25">
      <c r="A6">
        <v>5</v>
      </c>
      <c r="B6">
        <v>2020</v>
      </c>
      <c r="C6" t="s">
        <v>757</v>
      </c>
      <c r="D6" t="s">
        <v>1493</v>
      </c>
      <c r="E6" t="s">
        <v>1494</v>
      </c>
      <c r="F6" t="s">
        <v>189</v>
      </c>
      <c r="J6" t="s">
        <v>1495</v>
      </c>
    </row>
    <row r="7" spans="1:12" x14ac:dyDescent="0.25">
      <c r="A7">
        <v>6</v>
      </c>
      <c r="B7">
        <v>2020</v>
      </c>
      <c r="C7" t="s">
        <v>324</v>
      </c>
      <c r="D7" t="s">
        <v>1496</v>
      </c>
      <c r="E7" t="s">
        <v>1497</v>
      </c>
      <c r="F7" t="s">
        <v>189</v>
      </c>
      <c r="J7" t="s">
        <v>1498</v>
      </c>
    </row>
    <row r="8" spans="1:12" x14ac:dyDescent="0.25">
      <c r="A8">
        <v>7</v>
      </c>
      <c r="B8">
        <v>2020</v>
      </c>
      <c r="C8" t="s">
        <v>324</v>
      </c>
      <c r="D8" t="s">
        <v>1499</v>
      </c>
      <c r="E8" t="s">
        <v>1500</v>
      </c>
      <c r="F8" t="s">
        <v>189</v>
      </c>
      <c r="J8" t="s">
        <v>1501</v>
      </c>
    </row>
    <row r="9" spans="1:12" x14ac:dyDescent="0.25">
      <c r="A9">
        <v>8</v>
      </c>
      <c r="B9">
        <v>2020</v>
      </c>
      <c r="C9" t="s">
        <v>194</v>
      </c>
      <c r="D9" t="s">
        <v>1502</v>
      </c>
      <c r="E9" t="s">
        <v>1503</v>
      </c>
      <c r="F9" t="s">
        <v>189</v>
      </c>
      <c r="J9" t="s">
        <v>1504</v>
      </c>
    </row>
    <row r="10" spans="1:12" x14ac:dyDescent="0.25">
      <c r="A10">
        <v>9</v>
      </c>
      <c r="B10">
        <v>2021</v>
      </c>
      <c r="C10" t="s">
        <v>324</v>
      </c>
      <c r="D10" t="s">
        <v>1505</v>
      </c>
      <c r="E10" t="s">
        <v>1506</v>
      </c>
      <c r="F10" t="s">
        <v>189</v>
      </c>
      <c r="J10" t="s">
        <v>1507</v>
      </c>
    </row>
    <row r="11" spans="1:12" x14ac:dyDescent="0.25">
      <c r="A11">
        <v>10</v>
      </c>
      <c r="B11">
        <v>2020</v>
      </c>
      <c r="C11" t="s">
        <v>1480</v>
      </c>
      <c r="D11" t="s">
        <v>1508</v>
      </c>
      <c r="E11" t="s">
        <v>1509</v>
      </c>
      <c r="F11" t="s">
        <v>189</v>
      </c>
      <c r="J11" t="s">
        <v>1510</v>
      </c>
    </row>
    <row r="12" spans="1:12" x14ac:dyDescent="0.25">
      <c r="A12">
        <v>11</v>
      </c>
      <c r="B12">
        <v>2020</v>
      </c>
      <c r="C12" t="s">
        <v>1480</v>
      </c>
      <c r="D12" t="s">
        <v>1511</v>
      </c>
      <c r="E12" t="s">
        <v>1512</v>
      </c>
      <c r="F12" t="s">
        <v>189</v>
      </c>
      <c r="J12" t="s">
        <v>1513</v>
      </c>
    </row>
    <row r="13" spans="1:12" x14ac:dyDescent="0.25">
      <c r="A13">
        <v>12</v>
      </c>
      <c r="B13">
        <v>2020</v>
      </c>
      <c r="C13" t="s">
        <v>304</v>
      </c>
      <c r="D13" t="s">
        <v>1514</v>
      </c>
      <c r="E13" t="s">
        <v>1515</v>
      </c>
      <c r="F13" t="s">
        <v>189</v>
      </c>
      <c r="J13" t="s">
        <v>1516</v>
      </c>
    </row>
    <row r="14" spans="1:12" x14ac:dyDescent="0.25">
      <c r="A14">
        <v>13</v>
      </c>
      <c r="B14">
        <v>2020</v>
      </c>
      <c r="C14" t="s">
        <v>304</v>
      </c>
      <c r="D14" t="s">
        <v>1517</v>
      </c>
      <c r="E14" t="s">
        <v>1518</v>
      </c>
      <c r="F14" t="s">
        <v>189</v>
      </c>
      <c r="J14" t="s">
        <v>1519</v>
      </c>
    </row>
    <row r="15" spans="1:12" x14ac:dyDescent="0.25">
      <c r="A15">
        <v>14</v>
      </c>
      <c r="B15">
        <v>2020</v>
      </c>
      <c r="C15" t="s">
        <v>304</v>
      </c>
      <c r="D15" t="s">
        <v>1520</v>
      </c>
      <c r="E15" t="s">
        <v>1521</v>
      </c>
      <c r="F15" t="s">
        <v>189</v>
      </c>
      <c r="J15" t="s">
        <v>1522</v>
      </c>
    </row>
    <row r="16" spans="1:12" x14ac:dyDescent="0.25">
      <c r="A16">
        <v>15</v>
      </c>
      <c r="B16">
        <v>2020</v>
      </c>
      <c r="C16" t="s">
        <v>304</v>
      </c>
      <c r="D16" t="s">
        <v>1523</v>
      </c>
      <c r="E16" t="s">
        <v>1524</v>
      </c>
      <c r="F16" t="s">
        <v>189</v>
      </c>
      <c r="J16" t="s">
        <v>1525</v>
      </c>
    </row>
    <row r="17" spans="1:10" x14ac:dyDescent="0.25">
      <c r="A17">
        <v>16</v>
      </c>
      <c r="B17">
        <v>2020</v>
      </c>
      <c r="C17" t="s">
        <v>304</v>
      </c>
      <c r="D17" t="s">
        <v>1526</v>
      </c>
      <c r="E17" t="s">
        <v>1527</v>
      </c>
      <c r="F17" t="s">
        <v>189</v>
      </c>
      <c r="J17" t="s">
        <v>1528</v>
      </c>
    </row>
    <row r="18" spans="1:10" x14ac:dyDescent="0.25">
      <c r="A18">
        <v>17</v>
      </c>
      <c r="B18">
        <v>2020</v>
      </c>
      <c r="C18" t="s">
        <v>331</v>
      </c>
      <c r="D18" t="s">
        <v>1529</v>
      </c>
      <c r="E18" t="s">
        <v>1530</v>
      </c>
      <c r="F18" t="s">
        <v>189</v>
      </c>
      <c r="J18" t="s">
        <v>1531</v>
      </c>
    </row>
    <row r="19" spans="1:10" x14ac:dyDescent="0.25">
      <c r="A19">
        <v>18</v>
      </c>
      <c r="B19">
        <v>2020</v>
      </c>
      <c r="C19" t="s">
        <v>1480</v>
      </c>
      <c r="D19" t="s">
        <v>1532</v>
      </c>
      <c r="E19" t="s">
        <v>1533</v>
      </c>
      <c r="F19" t="s">
        <v>189</v>
      </c>
      <c r="J19" t="s">
        <v>1534</v>
      </c>
    </row>
    <row r="20" spans="1:10" x14ac:dyDescent="0.25">
      <c r="A20">
        <v>19</v>
      </c>
      <c r="B20">
        <v>2020</v>
      </c>
      <c r="C20" t="s">
        <v>1480</v>
      </c>
      <c r="D20" t="s">
        <v>1535</v>
      </c>
      <c r="E20" t="s">
        <v>1536</v>
      </c>
      <c r="F20" t="s">
        <v>189</v>
      </c>
      <c r="J20" t="s">
        <v>1537</v>
      </c>
    </row>
    <row r="21" spans="1:10" x14ac:dyDescent="0.25">
      <c r="A21">
        <v>20</v>
      </c>
      <c r="B21">
        <v>2020</v>
      </c>
      <c r="C21" t="s">
        <v>331</v>
      </c>
      <c r="D21" t="s">
        <v>1538</v>
      </c>
      <c r="E21" t="s">
        <v>1539</v>
      </c>
      <c r="F21" t="s">
        <v>189</v>
      </c>
      <c r="J21" t="s">
        <v>1540</v>
      </c>
    </row>
    <row r="22" spans="1:10" x14ac:dyDescent="0.25">
      <c r="A22">
        <v>21</v>
      </c>
      <c r="B22">
        <v>2020</v>
      </c>
      <c r="C22" t="s">
        <v>331</v>
      </c>
      <c r="D22" t="s">
        <v>1541</v>
      </c>
      <c r="E22" t="s">
        <v>1542</v>
      </c>
      <c r="F22" t="s">
        <v>189</v>
      </c>
      <c r="J22" t="s">
        <v>1543</v>
      </c>
    </row>
    <row r="23" spans="1:10" x14ac:dyDescent="0.25">
      <c r="A23">
        <v>22</v>
      </c>
      <c r="B23">
        <v>2020</v>
      </c>
      <c r="C23" t="s">
        <v>304</v>
      </c>
      <c r="D23" t="s">
        <v>1544</v>
      </c>
      <c r="E23" t="s">
        <v>1545</v>
      </c>
      <c r="F23" t="s">
        <v>189</v>
      </c>
      <c r="J23" t="s">
        <v>1546</v>
      </c>
    </row>
    <row r="24" spans="1:10" x14ac:dyDescent="0.25">
      <c r="A24">
        <v>23</v>
      </c>
      <c r="B24">
        <v>2020</v>
      </c>
      <c r="C24" t="s">
        <v>1407</v>
      </c>
      <c r="D24" t="s">
        <v>1547</v>
      </c>
      <c r="E24" t="s">
        <v>1548</v>
      </c>
      <c r="F24" t="s">
        <v>189</v>
      </c>
      <c r="J24" t="s">
        <v>1549</v>
      </c>
    </row>
    <row r="25" spans="1:10" x14ac:dyDescent="0.25">
      <c r="A25">
        <v>24</v>
      </c>
      <c r="B25">
        <v>2020</v>
      </c>
      <c r="C25" t="s">
        <v>324</v>
      </c>
      <c r="D25" t="s">
        <v>1550</v>
      </c>
      <c r="E25" t="s">
        <v>84</v>
      </c>
      <c r="F25" t="s">
        <v>189</v>
      </c>
      <c r="J25" t="s">
        <v>1551</v>
      </c>
    </row>
    <row r="26" spans="1:10" x14ac:dyDescent="0.25">
      <c r="A26">
        <v>25</v>
      </c>
      <c r="B26">
        <v>2020</v>
      </c>
      <c r="C26" t="s">
        <v>324</v>
      </c>
      <c r="D26" t="s">
        <v>1552</v>
      </c>
      <c r="E26" t="s">
        <v>1553</v>
      </c>
      <c r="F26" t="s">
        <v>189</v>
      </c>
      <c r="J26" t="s">
        <v>1554</v>
      </c>
    </row>
    <row r="27" spans="1:10" x14ac:dyDescent="0.25">
      <c r="A27">
        <v>26</v>
      </c>
      <c r="B27">
        <v>2020</v>
      </c>
      <c r="C27" t="s">
        <v>1480</v>
      </c>
      <c r="D27" t="s">
        <v>1555</v>
      </c>
      <c r="E27" t="s">
        <v>1556</v>
      </c>
      <c r="F27" t="s">
        <v>189</v>
      </c>
      <c r="J27" t="s">
        <v>1557</v>
      </c>
    </row>
    <row r="28" spans="1:10" x14ac:dyDescent="0.25">
      <c r="A28">
        <v>27</v>
      </c>
      <c r="B28">
        <v>2020</v>
      </c>
      <c r="C28" t="s">
        <v>1480</v>
      </c>
      <c r="D28" t="s">
        <v>1558</v>
      </c>
      <c r="E28" t="s">
        <v>1559</v>
      </c>
      <c r="F28" t="s">
        <v>189</v>
      </c>
      <c r="J28" t="s">
        <v>1560</v>
      </c>
    </row>
    <row r="29" spans="1:10" x14ac:dyDescent="0.25">
      <c r="A29">
        <v>28</v>
      </c>
      <c r="B29">
        <v>2020</v>
      </c>
      <c r="C29" t="s">
        <v>1480</v>
      </c>
      <c r="D29" t="s">
        <v>1561</v>
      </c>
      <c r="E29" t="s">
        <v>1562</v>
      </c>
      <c r="F29" t="s">
        <v>189</v>
      </c>
      <c r="J29" t="s">
        <v>1563</v>
      </c>
    </row>
    <row r="30" spans="1:10" x14ac:dyDescent="0.25">
      <c r="A30">
        <v>29</v>
      </c>
      <c r="B30">
        <v>2020</v>
      </c>
      <c r="C30" t="s">
        <v>331</v>
      </c>
      <c r="D30" t="s">
        <v>1564</v>
      </c>
      <c r="E30" t="s">
        <v>1565</v>
      </c>
      <c r="F30" t="s">
        <v>189</v>
      </c>
      <c r="J30" t="s">
        <v>1566</v>
      </c>
    </row>
    <row r="31" spans="1:10" ht="90" x14ac:dyDescent="0.25">
      <c r="A31">
        <v>30</v>
      </c>
      <c r="B31">
        <v>2020</v>
      </c>
      <c r="C31" t="s">
        <v>1480</v>
      </c>
      <c r="D31" s="11" t="s">
        <v>1567</v>
      </c>
      <c r="E31" s="11" t="s">
        <v>1568</v>
      </c>
      <c r="F31" t="s">
        <v>189</v>
      </c>
      <c r="J31" t="s">
        <v>1569</v>
      </c>
    </row>
    <row r="32" spans="1:10" x14ac:dyDescent="0.25">
      <c r="A32">
        <v>31</v>
      </c>
      <c r="B32">
        <v>2020</v>
      </c>
      <c r="C32" t="s">
        <v>1570</v>
      </c>
      <c r="D32" t="s">
        <v>1571</v>
      </c>
      <c r="E32" t="s">
        <v>1572</v>
      </c>
      <c r="F32" t="s">
        <v>189</v>
      </c>
      <c r="J32" t="s">
        <v>1573</v>
      </c>
    </row>
    <row r="33" spans="1:10" x14ac:dyDescent="0.25">
      <c r="A33">
        <v>32</v>
      </c>
      <c r="B33">
        <v>2020</v>
      </c>
      <c r="C33" t="s">
        <v>324</v>
      </c>
      <c r="D33" t="s">
        <v>1574</v>
      </c>
      <c r="E33" t="s">
        <v>1575</v>
      </c>
      <c r="F33" t="s">
        <v>189</v>
      </c>
      <c r="J33" t="s">
        <v>1576</v>
      </c>
    </row>
    <row r="34" spans="1:10" x14ac:dyDescent="0.25">
      <c r="A34">
        <v>33</v>
      </c>
      <c r="B34">
        <v>2020</v>
      </c>
      <c r="C34" t="s">
        <v>601</v>
      </c>
      <c r="D34" t="s">
        <v>1577</v>
      </c>
      <c r="E34" t="s">
        <v>1578</v>
      </c>
      <c r="F34" t="s">
        <v>189</v>
      </c>
      <c r="J34" t="s">
        <v>1579</v>
      </c>
    </row>
    <row r="35" spans="1:10" x14ac:dyDescent="0.25">
      <c r="A35">
        <v>34</v>
      </c>
      <c r="B35">
        <v>2020</v>
      </c>
      <c r="C35" t="s">
        <v>331</v>
      </c>
      <c r="D35" t="s">
        <v>1580</v>
      </c>
      <c r="E35" t="s">
        <v>1581</v>
      </c>
      <c r="F35" t="s">
        <v>189</v>
      </c>
      <c r="J35" t="s">
        <v>1582</v>
      </c>
    </row>
    <row r="36" spans="1:10" x14ac:dyDescent="0.25">
      <c r="A36">
        <v>35</v>
      </c>
      <c r="B36">
        <v>2020</v>
      </c>
      <c r="C36" t="s">
        <v>194</v>
      </c>
      <c r="D36" t="s">
        <v>1583</v>
      </c>
      <c r="E36" t="s">
        <v>1584</v>
      </c>
      <c r="F36" t="s">
        <v>189</v>
      </c>
      <c r="J36" t="s">
        <v>1585</v>
      </c>
    </row>
    <row r="37" spans="1:10" x14ac:dyDescent="0.25">
      <c r="A37">
        <v>36</v>
      </c>
      <c r="B37">
        <v>2020</v>
      </c>
      <c r="C37" t="s">
        <v>304</v>
      </c>
      <c r="D37" t="s">
        <v>1586</v>
      </c>
      <c r="E37" t="s">
        <v>1587</v>
      </c>
      <c r="F37" t="s">
        <v>189</v>
      </c>
      <c r="J37" t="s">
        <v>1588</v>
      </c>
    </row>
    <row r="38" spans="1:10" x14ac:dyDescent="0.25">
      <c r="A38">
        <v>37</v>
      </c>
      <c r="B38">
        <v>2020</v>
      </c>
      <c r="C38" t="s">
        <v>1480</v>
      </c>
      <c r="D38" t="s">
        <v>1589</v>
      </c>
      <c r="E38" t="s">
        <v>1559</v>
      </c>
      <c r="F38" t="s">
        <v>536</v>
      </c>
      <c r="J38" t="s">
        <v>1590</v>
      </c>
    </row>
    <row r="39" spans="1:10" x14ac:dyDescent="0.25">
      <c r="A39">
        <v>38</v>
      </c>
      <c r="B39">
        <v>2020</v>
      </c>
      <c r="C39" t="s">
        <v>1480</v>
      </c>
      <c r="D39" t="s">
        <v>1591</v>
      </c>
      <c r="E39" t="s">
        <v>1592</v>
      </c>
      <c r="F39" t="s">
        <v>536</v>
      </c>
      <c r="J39" t="s">
        <v>1593</v>
      </c>
    </row>
    <row r="40" spans="1:10" x14ac:dyDescent="0.25">
      <c r="A40">
        <v>39</v>
      </c>
      <c r="B40">
        <v>2020</v>
      </c>
      <c r="C40" t="s">
        <v>194</v>
      </c>
      <c r="D40" t="s">
        <v>1594</v>
      </c>
      <c r="E40" t="s">
        <v>1595</v>
      </c>
      <c r="F40" t="s">
        <v>189</v>
      </c>
      <c r="J40" t="s">
        <v>1596</v>
      </c>
    </row>
    <row r="41" spans="1:10" x14ac:dyDescent="0.25">
      <c r="A41">
        <v>40</v>
      </c>
      <c r="B41">
        <v>2020</v>
      </c>
      <c r="C41" t="s">
        <v>757</v>
      </c>
      <c r="D41" t="s">
        <v>1597</v>
      </c>
      <c r="E41" t="s">
        <v>62</v>
      </c>
      <c r="F41" t="s">
        <v>189</v>
      </c>
      <c r="J41" t="s">
        <v>1598</v>
      </c>
    </row>
    <row r="42" spans="1:10" x14ac:dyDescent="0.25">
      <c r="A42">
        <v>41</v>
      </c>
      <c r="B42">
        <v>2020</v>
      </c>
      <c r="C42" t="s">
        <v>757</v>
      </c>
      <c r="D42" t="s">
        <v>1599</v>
      </c>
      <c r="E42" t="s">
        <v>1600</v>
      </c>
      <c r="F42" t="s">
        <v>189</v>
      </c>
      <c r="J42" t="s">
        <v>1598</v>
      </c>
    </row>
    <row r="43" spans="1:10" x14ac:dyDescent="0.25">
      <c r="A43">
        <v>42</v>
      </c>
      <c r="B43">
        <v>2020</v>
      </c>
      <c r="C43" t="s">
        <v>194</v>
      </c>
      <c r="D43" t="s">
        <v>1601</v>
      </c>
      <c r="E43" t="s">
        <v>1602</v>
      </c>
      <c r="F43" t="s">
        <v>189</v>
      </c>
      <c r="J43" t="s">
        <v>1603</v>
      </c>
    </row>
    <row r="44" spans="1:10" x14ac:dyDescent="0.25">
      <c r="A44">
        <v>43</v>
      </c>
      <c r="B44">
        <v>2020</v>
      </c>
      <c r="C44" t="s">
        <v>757</v>
      </c>
      <c r="D44" t="s">
        <v>1604</v>
      </c>
      <c r="E44" t="s">
        <v>1605</v>
      </c>
      <c r="F44" t="s">
        <v>1606</v>
      </c>
    </row>
    <row r="45" spans="1:10" x14ac:dyDescent="0.25">
      <c r="A45">
        <v>44</v>
      </c>
      <c r="B45">
        <v>2020</v>
      </c>
      <c r="C45" t="s">
        <v>757</v>
      </c>
      <c r="D45" t="s">
        <v>1607</v>
      </c>
      <c r="E45" t="s">
        <v>1412</v>
      </c>
      <c r="F45" t="s">
        <v>1606</v>
      </c>
    </row>
    <row r="46" spans="1:10" x14ac:dyDescent="0.25">
      <c r="A46">
        <v>45</v>
      </c>
      <c r="B46">
        <v>2020</v>
      </c>
      <c r="C46" t="s">
        <v>1608</v>
      </c>
      <c r="D46" t="s">
        <v>1609</v>
      </c>
      <c r="E46" t="s">
        <v>1610</v>
      </c>
      <c r="F46" t="s">
        <v>189</v>
      </c>
      <c r="J46" t="s">
        <v>1611</v>
      </c>
    </row>
    <row r="47" spans="1:10" x14ac:dyDescent="0.25">
      <c r="A47">
        <v>46</v>
      </c>
      <c r="B47">
        <v>2020</v>
      </c>
      <c r="C47" t="s">
        <v>435</v>
      </c>
      <c r="D47" t="s">
        <v>1612</v>
      </c>
      <c r="E47" t="s">
        <v>1613</v>
      </c>
      <c r="F47" t="s">
        <v>189</v>
      </c>
      <c r="J47" t="s">
        <v>1614</v>
      </c>
    </row>
    <row r="48" spans="1:10" x14ac:dyDescent="0.25">
      <c r="A48">
        <v>47</v>
      </c>
    </row>
    <row r="49" spans="1:10" x14ac:dyDescent="0.25">
      <c r="A49">
        <v>48</v>
      </c>
      <c r="C49" t="s">
        <v>804</v>
      </c>
      <c r="D49" t="s">
        <v>805</v>
      </c>
      <c r="E49" t="s">
        <v>806</v>
      </c>
    </row>
    <row r="50" spans="1:10" x14ac:dyDescent="0.25">
      <c r="A50">
        <v>49</v>
      </c>
      <c r="D50" t="s">
        <v>807</v>
      </c>
      <c r="E50" t="s">
        <v>808</v>
      </c>
    </row>
    <row r="51" spans="1:10" x14ac:dyDescent="0.25">
      <c r="A51">
        <v>50</v>
      </c>
    </row>
    <row r="52" spans="1:10" x14ac:dyDescent="0.25">
      <c r="A52">
        <v>51</v>
      </c>
    </row>
    <row r="53" spans="1:10" x14ac:dyDescent="0.25">
      <c r="A53">
        <v>52</v>
      </c>
    </row>
    <row r="54" spans="1:10" x14ac:dyDescent="0.25">
      <c r="A54">
        <v>53</v>
      </c>
    </row>
    <row r="55" spans="1:10" x14ac:dyDescent="0.25">
      <c r="A55">
        <v>54</v>
      </c>
    </row>
    <row r="56" spans="1:10" x14ac:dyDescent="0.25">
      <c r="A56">
        <v>55</v>
      </c>
    </row>
    <row r="57" spans="1:10" x14ac:dyDescent="0.25">
      <c r="A57">
        <v>56</v>
      </c>
    </row>
    <row r="58" spans="1:10" x14ac:dyDescent="0.25">
      <c r="A58">
        <v>57</v>
      </c>
    </row>
    <row r="59" spans="1:10" x14ac:dyDescent="0.25">
      <c r="A59">
        <v>58</v>
      </c>
      <c r="J59">
        <v>0.375</v>
      </c>
    </row>
    <row r="60" spans="1:10" x14ac:dyDescent="0.25">
      <c r="A60">
        <v>59</v>
      </c>
      <c r="J60">
        <v>0.625</v>
      </c>
    </row>
    <row r="61" spans="1:10" x14ac:dyDescent="0.25">
      <c r="A61">
        <v>60</v>
      </c>
    </row>
    <row r="62" spans="1:10" x14ac:dyDescent="0.25">
      <c r="A62">
        <v>61</v>
      </c>
    </row>
    <row r="63" spans="1:10" x14ac:dyDescent="0.25">
      <c r="A63">
        <v>62</v>
      </c>
    </row>
    <row r="64" spans="1:10" x14ac:dyDescent="0.25">
      <c r="A64">
        <v>63</v>
      </c>
    </row>
    <row r="65" spans="1:1" x14ac:dyDescent="0.25">
      <c r="A65">
        <v>64</v>
      </c>
    </row>
    <row r="66" spans="1:1" x14ac:dyDescent="0.25">
      <c r="A66">
        <v>65</v>
      </c>
    </row>
    <row r="67" spans="1:1" x14ac:dyDescent="0.25">
      <c r="A67">
        <v>66</v>
      </c>
    </row>
    <row r="68" spans="1:1" x14ac:dyDescent="0.25">
      <c r="A68">
        <v>67</v>
      </c>
    </row>
    <row r="69" spans="1:1" x14ac:dyDescent="0.25">
      <c r="A69">
        <v>68</v>
      </c>
    </row>
    <row r="70" spans="1:1" x14ac:dyDescent="0.25">
      <c r="A70">
        <v>69</v>
      </c>
    </row>
    <row r="71" spans="1:1" x14ac:dyDescent="0.25">
      <c r="A71">
        <v>70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8"/>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x14ac:dyDescent="0.25">
      <c r="A2">
        <v>1</v>
      </c>
      <c r="B2">
        <v>2018</v>
      </c>
      <c r="C2" t="s">
        <v>324</v>
      </c>
      <c r="D2" t="s">
        <v>1615</v>
      </c>
      <c r="E2" t="s">
        <v>1616</v>
      </c>
      <c r="F2" t="s">
        <v>189</v>
      </c>
      <c r="I2" t="s">
        <v>1617</v>
      </c>
      <c r="J2" t="s">
        <v>1618</v>
      </c>
    </row>
    <row r="3" spans="1:12" ht="90" x14ac:dyDescent="0.25">
      <c r="A3">
        <v>2</v>
      </c>
      <c r="B3">
        <v>2018</v>
      </c>
      <c r="C3" t="s">
        <v>194</v>
      </c>
      <c r="D3" t="s">
        <v>1619</v>
      </c>
      <c r="E3" s="11" t="s">
        <v>1620</v>
      </c>
      <c r="F3" t="s">
        <v>189</v>
      </c>
      <c r="I3" t="s">
        <v>1621</v>
      </c>
      <c r="J3" t="s">
        <v>1622</v>
      </c>
    </row>
    <row r="4" spans="1:12" ht="120" x14ac:dyDescent="0.25">
      <c r="A4">
        <v>3</v>
      </c>
      <c r="B4">
        <v>2018</v>
      </c>
      <c r="C4" t="s">
        <v>208</v>
      </c>
      <c r="D4" t="s">
        <v>1623</v>
      </c>
      <c r="E4" t="s">
        <v>1624</v>
      </c>
      <c r="F4" t="s">
        <v>189</v>
      </c>
      <c r="I4" s="11" t="s">
        <v>1625</v>
      </c>
      <c r="J4" t="s">
        <v>1626</v>
      </c>
    </row>
    <row r="5" spans="1:12" x14ac:dyDescent="0.25">
      <c r="A5">
        <v>4</v>
      </c>
      <c r="B5">
        <v>2018</v>
      </c>
      <c r="C5" t="s">
        <v>194</v>
      </c>
      <c r="D5" t="s">
        <v>1627</v>
      </c>
      <c r="E5" t="s">
        <v>1628</v>
      </c>
      <c r="F5" t="s">
        <v>189</v>
      </c>
      <c r="I5" t="s">
        <v>1629</v>
      </c>
      <c r="J5" t="s">
        <v>1630</v>
      </c>
    </row>
    <row r="6" spans="1:12" x14ac:dyDescent="0.25">
      <c r="A6">
        <v>5</v>
      </c>
      <c r="B6">
        <v>2018</v>
      </c>
      <c r="C6" t="s">
        <v>324</v>
      </c>
      <c r="D6" t="s">
        <v>1631</v>
      </c>
      <c r="E6" t="s">
        <v>1632</v>
      </c>
      <c r="F6" t="s">
        <v>189</v>
      </c>
      <c r="I6" t="s">
        <v>1633</v>
      </c>
      <c r="J6" t="s">
        <v>1634</v>
      </c>
    </row>
    <row r="7" spans="1:12" x14ac:dyDescent="0.25">
      <c r="A7">
        <v>6</v>
      </c>
      <c r="B7">
        <v>2018</v>
      </c>
      <c r="C7" t="s">
        <v>201</v>
      </c>
      <c r="D7" t="s">
        <v>1635</v>
      </c>
      <c r="E7" t="s">
        <v>1636</v>
      </c>
      <c r="F7" t="s">
        <v>189</v>
      </c>
      <c r="I7" t="s">
        <v>1637</v>
      </c>
      <c r="J7" t="s">
        <v>1638</v>
      </c>
    </row>
    <row r="8" spans="1:12" x14ac:dyDescent="0.25">
      <c r="A8">
        <v>7</v>
      </c>
      <c r="B8">
        <v>2018</v>
      </c>
      <c r="C8" t="s">
        <v>463</v>
      </c>
      <c r="D8" t="s">
        <v>1639</v>
      </c>
      <c r="E8" t="s">
        <v>465</v>
      </c>
      <c r="F8" t="s">
        <v>189</v>
      </c>
      <c r="I8" t="s">
        <v>1640</v>
      </c>
      <c r="J8" t="s">
        <v>1641</v>
      </c>
    </row>
    <row r="9" spans="1:12" x14ac:dyDescent="0.25">
      <c r="A9">
        <v>8</v>
      </c>
      <c r="B9">
        <v>2018</v>
      </c>
      <c r="C9" t="s">
        <v>215</v>
      </c>
      <c r="D9" t="s">
        <v>1642</v>
      </c>
      <c r="E9" t="s">
        <v>1643</v>
      </c>
      <c r="F9" t="s">
        <v>189</v>
      </c>
      <c r="I9" t="s">
        <v>1644</v>
      </c>
      <c r="J9" t="s">
        <v>1645</v>
      </c>
    </row>
    <row r="10" spans="1:12" ht="90" x14ac:dyDescent="0.25">
      <c r="A10">
        <v>9</v>
      </c>
      <c r="B10">
        <v>2018</v>
      </c>
      <c r="C10" t="s">
        <v>208</v>
      </c>
      <c r="D10" t="s">
        <v>1646</v>
      </c>
      <c r="E10" t="s">
        <v>1647</v>
      </c>
      <c r="F10" t="s">
        <v>189</v>
      </c>
      <c r="I10" s="11" t="s">
        <v>1648</v>
      </c>
      <c r="J10" t="s">
        <v>1649</v>
      </c>
    </row>
    <row r="11" spans="1:12" x14ac:dyDescent="0.25">
      <c r="A11">
        <v>10</v>
      </c>
      <c r="B11">
        <v>2018</v>
      </c>
      <c r="C11" t="s">
        <v>331</v>
      </c>
      <c r="D11" t="s">
        <v>1650</v>
      </c>
      <c r="E11" t="s">
        <v>1651</v>
      </c>
      <c r="F11" t="s">
        <v>189</v>
      </c>
      <c r="I11" t="s">
        <v>1652</v>
      </c>
      <c r="J11" t="s">
        <v>1653</v>
      </c>
    </row>
    <row r="12" spans="1:12" x14ac:dyDescent="0.25">
      <c r="A12">
        <v>11</v>
      </c>
      <c r="B12">
        <v>2018</v>
      </c>
      <c r="C12" t="s">
        <v>208</v>
      </c>
      <c r="D12" t="s">
        <v>1654</v>
      </c>
      <c r="E12" t="s">
        <v>1655</v>
      </c>
      <c r="F12" t="s">
        <v>189</v>
      </c>
      <c r="I12" t="s">
        <v>1656</v>
      </c>
      <c r="J12" t="s">
        <v>1657</v>
      </c>
    </row>
    <row r="13" spans="1:12" ht="75" x14ac:dyDescent="0.25">
      <c r="A13">
        <v>12</v>
      </c>
      <c r="B13">
        <v>2018</v>
      </c>
      <c r="C13" t="s">
        <v>194</v>
      </c>
      <c r="D13" t="s">
        <v>1658</v>
      </c>
      <c r="E13" s="11" t="s">
        <v>1659</v>
      </c>
      <c r="F13" t="s">
        <v>189</v>
      </c>
      <c r="I13" t="s">
        <v>1660</v>
      </c>
      <c r="J13" t="s">
        <v>1661</v>
      </c>
    </row>
    <row r="14" spans="1:12" x14ac:dyDescent="0.25">
      <c r="A14">
        <v>13</v>
      </c>
      <c r="B14">
        <v>2018</v>
      </c>
      <c r="C14" t="s">
        <v>215</v>
      </c>
      <c r="D14" t="s">
        <v>1662</v>
      </c>
      <c r="E14" t="s">
        <v>1663</v>
      </c>
      <c r="F14" t="s">
        <v>189</v>
      </c>
      <c r="I14" t="s">
        <v>1664</v>
      </c>
      <c r="J14" t="s">
        <v>1665</v>
      </c>
    </row>
    <row r="15" spans="1:12" x14ac:dyDescent="0.25">
      <c r="A15">
        <v>14</v>
      </c>
      <c r="B15">
        <v>2018</v>
      </c>
      <c r="C15" t="s">
        <v>1666</v>
      </c>
      <c r="D15" t="s">
        <v>1667</v>
      </c>
      <c r="E15" t="s">
        <v>1668</v>
      </c>
      <c r="F15" t="s">
        <v>189</v>
      </c>
      <c r="I15" t="s">
        <v>1669</v>
      </c>
      <c r="J15" t="s">
        <v>1670</v>
      </c>
    </row>
    <row r="16" spans="1:12" x14ac:dyDescent="0.25">
      <c r="A16">
        <v>15</v>
      </c>
      <c r="B16">
        <v>2018</v>
      </c>
      <c r="C16" t="s">
        <v>194</v>
      </c>
      <c r="D16" t="s">
        <v>1671</v>
      </c>
      <c r="E16" t="s">
        <v>1672</v>
      </c>
      <c r="F16" t="s">
        <v>189</v>
      </c>
      <c r="I16" t="s">
        <v>1673</v>
      </c>
      <c r="J16" t="s">
        <v>1674</v>
      </c>
    </row>
    <row r="17" spans="1:10" x14ac:dyDescent="0.25">
      <c r="A17">
        <v>16</v>
      </c>
      <c r="B17">
        <v>2018</v>
      </c>
      <c r="C17" t="s">
        <v>201</v>
      </c>
      <c r="D17" t="s">
        <v>1675</v>
      </c>
      <c r="E17" t="s">
        <v>1676</v>
      </c>
      <c r="F17" t="s">
        <v>189</v>
      </c>
      <c r="I17" t="s">
        <v>1677</v>
      </c>
      <c r="J17" t="s">
        <v>1678</v>
      </c>
    </row>
    <row r="18" spans="1:10" x14ac:dyDescent="0.25">
      <c r="A18">
        <v>17</v>
      </c>
      <c r="B18">
        <v>2018</v>
      </c>
      <c r="C18" t="s">
        <v>201</v>
      </c>
      <c r="D18" t="s">
        <v>1679</v>
      </c>
      <c r="E18" t="s">
        <v>968</v>
      </c>
      <c r="F18" t="s">
        <v>189</v>
      </c>
      <c r="I18" t="s">
        <v>1680</v>
      </c>
      <c r="J18" t="s">
        <v>1681</v>
      </c>
    </row>
    <row r="19" spans="1:10" x14ac:dyDescent="0.25">
      <c r="A19">
        <v>18</v>
      </c>
      <c r="B19">
        <v>2018</v>
      </c>
      <c r="C19" t="s">
        <v>201</v>
      </c>
      <c r="D19" t="s">
        <v>1682</v>
      </c>
      <c r="E19" t="s">
        <v>968</v>
      </c>
      <c r="F19" t="s">
        <v>189</v>
      </c>
      <c r="I19" t="s">
        <v>1683</v>
      </c>
      <c r="J19" t="s">
        <v>1684</v>
      </c>
    </row>
    <row r="20" spans="1:10" x14ac:dyDescent="0.25">
      <c r="A20">
        <v>19</v>
      </c>
      <c r="B20">
        <v>2018</v>
      </c>
      <c r="C20" t="s">
        <v>1685</v>
      </c>
      <c r="D20" t="s">
        <v>1686</v>
      </c>
      <c r="E20" t="s">
        <v>1687</v>
      </c>
      <c r="F20" t="s">
        <v>189</v>
      </c>
      <c r="I20" t="s">
        <v>1688</v>
      </c>
      <c r="J20" t="s">
        <v>1689</v>
      </c>
    </row>
    <row r="21" spans="1:10" x14ac:dyDescent="0.25">
      <c r="A21">
        <v>20</v>
      </c>
      <c r="B21">
        <v>2018</v>
      </c>
      <c r="C21" t="s">
        <v>324</v>
      </c>
      <c r="D21" t="s">
        <v>1690</v>
      </c>
      <c r="E21" t="s">
        <v>1691</v>
      </c>
      <c r="F21" t="s">
        <v>189</v>
      </c>
      <c r="I21" t="s">
        <v>1692</v>
      </c>
      <c r="J21" t="s">
        <v>1693</v>
      </c>
    </row>
    <row r="22" spans="1:10" x14ac:dyDescent="0.25">
      <c r="A22">
        <v>21</v>
      </c>
      <c r="B22">
        <v>2018</v>
      </c>
      <c r="C22" t="s">
        <v>194</v>
      </c>
      <c r="D22" t="s">
        <v>1694</v>
      </c>
      <c r="E22" t="s">
        <v>1695</v>
      </c>
      <c r="F22" t="s">
        <v>189</v>
      </c>
      <c r="I22" t="s">
        <v>1696</v>
      </c>
      <c r="J22" t="s">
        <v>1697</v>
      </c>
    </row>
    <row r="23" spans="1:10" x14ac:dyDescent="0.25">
      <c r="A23">
        <v>22</v>
      </c>
      <c r="B23">
        <v>2018</v>
      </c>
      <c r="C23" t="s">
        <v>208</v>
      </c>
      <c r="D23" t="s">
        <v>1698</v>
      </c>
      <c r="E23" t="s">
        <v>1699</v>
      </c>
      <c r="F23" t="s">
        <v>189</v>
      </c>
      <c r="I23" t="s">
        <v>1305</v>
      </c>
      <c r="J23" t="s">
        <v>1700</v>
      </c>
    </row>
    <row r="24" spans="1:10" x14ac:dyDescent="0.25">
      <c r="A24">
        <v>23</v>
      </c>
      <c r="B24">
        <v>2018</v>
      </c>
      <c r="C24" t="s">
        <v>208</v>
      </c>
      <c r="D24" t="s">
        <v>1701</v>
      </c>
      <c r="E24" t="s">
        <v>1702</v>
      </c>
      <c r="F24" t="s">
        <v>189</v>
      </c>
      <c r="I24" t="s">
        <v>1305</v>
      </c>
      <c r="J24" t="s">
        <v>1703</v>
      </c>
    </row>
    <row r="25" spans="1:10" x14ac:dyDescent="0.25">
      <c r="A25">
        <v>24</v>
      </c>
      <c r="B25">
        <v>2018</v>
      </c>
      <c r="C25" t="s">
        <v>259</v>
      </c>
      <c r="D25" t="s">
        <v>1704</v>
      </c>
      <c r="E25" t="s">
        <v>1705</v>
      </c>
      <c r="F25" t="s">
        <v>189</v>
      </c>
      <c r="I25" t="s">
        <v>1706</v>
      </c>
      <c r="J25" t="s">
        <v>1707</v>
      </c>
    </row>
    <row r="26" spans="1:10" x14ac:dyDescent="0.25">
      <c r="A26">
        <v>25</v>
      </c>
      <c r="B26">
        <v>2018</v>
      </c>
      <c r="C26" t="s">
        <v>259</v>
      </c>
      <c r="D26" t="s">
        <v>1708</v>
      </c>
      <c r="E26" t="s">
        <v>1709</v>
      </c>
      <c r="F26" t="s">
        <v>189</v>
      </c>
      <c r="I26" t="s">
        <v>1710</v>
      </c>
      <c r="J26" t="s">
        <v>1711</v>
      </c>
    </row>
    <row r="27" spans="1:10" x14ac:dyDescent="0.25">
      <c r="A27">
        <v>26</v>
      </c>
      <c r="B27">
        <v>2018</v>
      </c>
      <c r="C27" t="s">
        <v>194</v>
      </c>
      <c r="D27" t="s">
        <v>1712</v>
      </c>
      <c r="E27" t="s">
        <v>1713</v>
      </c>
      <c r="F27" t="s">
        <v>189</v>
      </c>
      <c r="I27" t="s">
        <v>1714</v>
      </c>
      <c r="J27" t="s">
        <v>1715</v>
      </c>
    </row>
    <row r="28" spans="1:10" x14ac:dyDescent="0.25">
      <c r="A28">
        <v>27</v>
      </c>
      <c r="B28">
        <v>2018</v>
      </c>
      <c r="C28" t="s">
        <v>194</v>
      </c>
      <c r="D28" t="s">
        <v>1716</v>
      </c>
      <c r="E28" t="s">
        <v>1717</v>
      </c>
      <c r="F28" t="s">
        <v>189</v>
      </c>
      <c r="I28" t="s">
        <v>1718</v>
      </c>
      <c r="J28" t="s">
        <v>1719</v>
      </c>
    </row>
    <row r="29" spans="1:10" x14ac:dyDescent="0.25">
      <c r="A29">
        <v>28</v>
      </c>
      <c r="B29">
        <v>2018</v>
      </c>
      <c r="C29" t="s">
        <v>1720</v>
      </c>
      <c r="D29" t="s">
        <v>1721</v>
      </c>
      <c r="E29" t="s">
        <v>1722</v>
      </c>
      <c r="F29" t="s">
        <v>189</v>
      </c>
      <c r="I29" t="s">
        <v>1723</v>
      </c>
      <c r="J29" t="s">
        <v>1724</v>
      </c>
    </row>
    <row r="30" spans="1:10" x14ac:dyDescent="0.25">
      <c r="A30">
        <v>29</v>
      </c>
      <c r="B30">
        <v>2018</v>
      </c>
      <c r="C30" t="s">
        <v>1720</v>
      </c>
      <c r="D30" t="s">
        <v>1725</v>
      </c>
      <c r="E30" t="s">
        <v>1726</v>
      </c>
      <c r="F30" t="s">
        <v>189</v>
      </c>
      <c r="I30" t="s">
        <v>1727</v>
      </c>
      <c r="J30" t="s">
        <v>1728</v>
      </c>
    </row>
    <row r="31" spans="1:10" x14ac:dyDescent="0.25">
      <c r="A31">
        <v>30</v>
      </c>
      <c r="B31">
        <v>2018</v>
      </c>
      <c r="C31" t="s">
        <v>331</v>
      </c>
      <c r="D31" t="s">
        <v>1729</v>
      </c>
      <c r="E31" t="s">
        <v>1730</v>
      </c>
      <c r="F31" t="s">
        <v>189</v>
      </c>
      <c r="I31" t="s">
        <v>1731</v>
      </c>
      <c r="J31" t="s">
        <v>1732</v>
      </c>
    </row>
    <row r="32" spans="1:10" x14ac:dyDescent="0.25">
      <c r="A32">
        <v>31</v>
      </c>
      <c r="B32">
        <v>2018</v>
      </c>
      <c r="C32" t="s">
        <v>331</v>
      </c>
      <c r="D32" t="s">
        <v>1733</v>
      </c>
      <c r="E32" t="s">
        <v>1734</v>
      </c>
      <c r="F32" t="s">
        <v>189</v>
      </c>
      <c r="I32" t="s">
        <v>1735</v>
      </c>
      <c r="J32" t="s">
        <v>1736</v>
      </c>
    </row>
    <row r="33" spans="1:10" x14ac:dyDescent="0.25">
      <c r="A33">
        <v>32</v>
      </c>
      <c r="B33">
        <v>2018</v>
      </c>
      <c r="C33" t="s">
        <v>215</v>
      </c>
      <c r="D33" t="s">
        <v>1737</v>
      </c>
      <c r="E33" t="s">
        <v>1738</v>
      </c>
      <c r="F33" t="s">
        <v>189</v>
      </c>
      <c r="I33" t="s">
        <v>1739</v>
      </c>
      <c r="J33" t="s">
        <v>1740</v>
      </c>
    </row>
    <row r="34" spans="1:10" x14ac:dyDescent="0.25">
      <c r="A34">
        <v>33</v>
      </c>
      <c r="B34">
        <v>2018</v>
      </c>
      <c r="C34" t="s">
        <v>925</v>
      </c>
      <c r="D34" t="s">
        <v>1741</v>
      </c>
      <c r="E34" t="s">
        <v>1742</v>
      </c>
      <c r="F34" t="s">
        <v>189</v>
      </c>
      <c r="I34" t="s">
        <v>1743</v>
      </c>
      <c r="J34" t="s">
        <v>1744</v>
      </c>
    </row>
    <row r="35" spans="1:10" x14ac:dyDescent="0.25">
      <c r="A35">
        <v>34</v>
      </c>
      <c r="B35">
        <v>2018</v>
      </c>
      <c r="C35" t="s">
        <v>463</v>
      </c>
      <c r="D35" t="s">
        <v>1745</v>
      </c>
      <c r="E35" t="s">
        <v>1746</v>
      </c>
      <c r="F35" t="s">
        <v>189</v>
      </c>
      <c r="I35" t="s">
        <v>1747</v>
      </c>
      <c r="J35" t="s">
        <v>1748</v>
      </c>
    </row>
    <row r="36" spans="1:10" x14ac:dyDescent="0.25">
      <c r="A36">
        <v>35</v>
      </c>
      <c r="B36">
        <v>2018</v>
      </c>
      <c r="C36" t="s">
        <v>208</v>
      </c>
      <c r="D36" t="s">
        <v>1749</v>
      </c>
      <c r="E36" t="s">
        <v>1655</v>
      </c>
      <c r="F36" t="s">
        <v>189</v>
      </c>
      <c r="I36" t="s">
        <v>1750</v>
      </c>
      <c r="J36" t="s">
        <v>1751</v>
      </c>
    </row>
    <row r="37" spans="1:10" x14ac:dyDescent="0.25">
      <c r="A37">
        <v>36</v>
      </c>
      <c r="B37">
        <v>2018</v>
      </c>
      <c r="C37" t="s">
        <v>331</v>
      </c>
      <c r="D37" t="s">
        <v>1752</v>
      </c>
      <c r="E37" t="s">
        <v>1753</v>
      </c>
      <c r="F37" t="s">
        <v>189</v>
      </c>
      <c r="I37" t="s">
        <v>1754</v>
      </c>
      <c r="J37" t="s">
        <v>1755</v>
      </c>
    </row>
    <row r="38" spans="1:10" x14ac:dyDescent="0.25">
      <c r="A38">
        <v>37</v>
      </c>
      <c r="B38">
        <v>2018</v>
      </c>
      <c r="C38" t="s">
        <v>925</v>
      </c>
      <c r="D38" t="s">
        <v>1756</v>
      </c>
      <c r="E38" t="s">
        <v>1412</v>
      </c>
      <c r="F38" t="s">
        <v>189</v>
      </c>
      <c r="I38" t="s">
        <v>1757</v>
      </c>
      <c r="J38" t="s">
        <v>1758</v>
      </c>
    </row>
    <row r="39" spans="1:10" x14ac:dyDescent="0.25">
      <c r="A39">
        <v>38</v>
      </c>
      <c r="B39">
        <v>2018</v>
      </c>
      <c r="C39" t="s">
        <v>324</v>
      </c>
      <c r="D39" t="s">
        <v>1759</v>
      </c>
      <c r="E39" t="s">
        <v>1760</v>
      </c>
      <c r="F39" t="s">
        <v>189</v>
      </c>
      <c r="I39" t="s">
        <v>1761</v>
      </c>
      <c r="J39" t="s">
        <v>1762</v>
      </c>
    </row>
    <row r="40" spans="1:10" x14ac:dyDescent="0.25">
      <c r="A40">
        <v>39</v>
      </c>
    </row>
    <row r="41" spans="1:10" x14ac:dyDescent="0.25">
      <c r="A41">
        <v>40</v>
      </c>
      <c r="B41">
        <v>2019</v>
      </c>
      <c r="C41" t="s">
        <v>324</v>
      </c>
      <c r="D41" t="s">
        <v>1763</v>
      </c>
      <c r="E41" t="s">
        <v>1764</v>
      </c>
      <c r="F41" t="s">
        <v>189</v>
      </c>
      <c r="I41" t="s">
        <v>1765</v>
      </c>
      <c r="J41" t="s">
        <v>1766</v>
      </c>
    </row>
    <row r="42" spans="1:10" ht="60" x14ac:dyDescent="0.25">
      <c r="A42">
        <v>41</v>
      </c>
      <c r="B42">
        <v>2019</v>
      </c>
      <c r="C42" t="s">
        <v>463</v>
      </c>
      <c r="D42" s="11" t="s">
        <v>1767</v>
      </c>
      <c r="E42" t="s">
        <v>1768</v>
      </c>
      <c r="F42" t="s">
        <v>189</v>
      </c>
      <c r="I42" t="s">
        <v>1769</v>
      </c>
      <c r="J42" t="s">
        <v>1770</v>
      </c>
    </row>
    <row r="43" spans="1:10" x14ac:dyDescent="0.25">
      <c r="A43">
        <v>42</v>
      </c>
      <c r="B43">
        <v>2019</v>
      </c>
      <c r="C43" t="s">
        <v>201</v>
      </c>
      <c r="D43" t="s">
        <v>1771</v>
      </c>
      <c r="E43" t="s">
        <v>1772</v>
      </c>
      <c r="F43" t="s">
        <v>189</v>
      </c>
      <c r="I43" t="s">
        <v>1773</v>
      </c>
      <c r="J43" t="s">
        <v>1774</v>
      </c>
    </row>
    <row r="44" spans="1:10" x14ac:dyDescent="0.25">
      <c r="A44">
        <v>43</v>
      </c>
      <c r="B44">
        <v>2019</v>
      </c>
      <c r="C44" t="s">
        <v>201</v>
      </c>
      <c r="D44" t="s">
        <v>1775</v>
      </c>
      <c r="E44" t="s">
        <v>1776</v>
      </c>
      <c r="F44" t="s">
        <v>189</v>
      </c>
      <c r="I44" t="s">
        <v>1777</v>
      </c>
      <c r="J44" t="s">
        <v>1778</v>
      </c>
    </row>
    <row r="45" spans="1:10" x14ac:dyDescent="0.25">
      <c r="A45">
        <v>44</v>
      </c>
      <c r="B45">
        <v>2019</v>
      </c>
      <c r="C45" t="s">
        <v>201</v>
      </c>
      <c r="D45" t="s">
        <v>1779</v>
      </c>
      <c r="E45" t="s">
        <v>1772</v>
      </c>
      <c r="F45" t="s">
        <v>189</v>
      </c>
      <c r="I45" t="s">
        <v>1780</v>
      </c>
      <c r="J45" t="s">
        <v>1781</v>
      </c>
    </row>
    <row r="46" spans="1:10" x14ac:dyDescent="0.25">
      <c r="A46">
        <v>45</v>
      </c>
      <c r="B46">
        <v>2019</v>
      </c>
      <c r="C46" t="s">
        <v>331</v>
      </c>
      <c r="D46" t="s">
        <v>1782</v>
      </c>
      <c r="E46" t="s">
        <v>1783</v>
      </c>
      <c r="F46" t="s">
        <v>189</v>
      </c>
      <c r="I46" t="s">
        <v>1784</v>
      </c>
      <c r="J46" t="s">
        <v>1785</v>
      </c>
    </row>
    <row r="47" spans="1:10" x14ac:dyDescent="0.25">
      <c r="A47">
        <v>46</v>
      </c>
      <c r="B47">
        <v>2019</v>
      </c>
      <c r="C47" t="s">
        <v>1786</v>
      </c>
      <c r="D47" t="s">
        <v>1787</v>
      </c>
      <c r="E47" t="s">
        <v>1788</v>
      </c>
      <c r="F47" t="s">
        <v>1789</v>
      </c>
      <c r="I47" t="s">
        <v>1305</v>
      </c>
      <c r="J47" t="s">
        <v>1790</v>
      </c>
    </row>
    <row r="48" spans="1:10" x14ac:dyDescent="0.25">
      <c r="A48">
        <v>47</v>
      </c>
      <c r="B48">
        <v>2019</v>
      </c>
      <c r="C48" t="s">
        <v>194</v>
      </c>
      <c r="D48" t="s">
        <v>1791</v>
      </c>
      <c r="E48" t="s">
        <v>1792</v>
      </c>
      <c r="F48" t="s">
        <v>189</v>
      </c>
      <c r="I48" t="s">
        <v>1793</v>
      </c>
      <c r="J48" t="s">
        <v>1794</v>
      </c>
    </row>
    <row r="49" spans="1:10" x14ac:dyDescent="0.25">
      <c r="A49">
        <v>48</v>
      </c>
      <c r="B49">
        <v>2019</v>
      </c>
      <c r="C49" t="s">
        <v>194</v>
      </c>
      <c r="D49" t="s">
        <v>1795</v>
      </c>
      <c r="E49" t="s">
        <v>1796</v>
      </c>
      <c r="F49" t="s">
        <v>189</v>
      </c>
      <c r="I49" t="s">
        <v>1797</v>
      </c>
      <c r="J49" t="s">
        <v>1798</v>
      </c>
    </row>
    <row r="50" spans="1:10" x14ac:dyDescent="0.25">
      <c r="A50">
        <v>49</v>
      </c>
      <c r="B50">
        <v>2019</v>
      </c>
      <c r="C50" t="s">
        <v>201</v>
      </c>
      <c r="D50" t="s">
        <v>1799</v>
      </c>
      <c r="E50" t="s">
        <v>1423</v>
      </c>
      <c r="F50" t="s">
        <v>189</v>
      </c>
      <c r="I50" t="s">
        <v>1800</v>
      </c>
      <c r="J50" t="s">
        <v>1801</v>
      </c>
    </row>
    <row r="51" spans="1:10" x14ac:dyDescent="0.25">
      <c r="A51">
        <v>50</v>
      </c>
      <c r="B51">
        <v>2019</v>
      </c>
      <c r="C51" t="s">
        <v>259</v>
      </c>
      <c r="D51" t="s">
        <v>1802</v>
      </c>
      <c r="E51" t="s">
        <v>1803</v>
      </c>
      <c r="F51" t="s">
        <v>189</v>
      </c>
      <c r="I51" t="s">
        <v>1804</v>
      </c>
      <c r="J51" t="s">
        <v>1805</v>
      </c>
    </row>
    <row r="52" spans="1:10" x14ac:dyDescent="0.25">
      <c r="A52">
        <v>51</v>
      </c>
      <c r="B52">
        <v>2019</v>
      </c>
      <c r="C52" t="s">
        <v>324</v>
      </c>
      <c r="D52" t="s">
        <v>1806</v>
      </c>
      <c r="E52" t="s">
        <v>1807</v>
      </c>
      <c r="F52" t="s">
        <v>189</v>
      </c>
      <c r="I52" t="s">
        <v>1808</v>
      </c>
      <c r="J52" t="s">
        <v>1809</v>
      </c>
    </row>
    <row r="53" spans="1:10" x14ac:dyDescent="0.25">
      <c r="A53">
        <v>52</v>
      </c>
      <c r="B53">
        <v>2019</v>
      </c>
      <c r="C53" t="s">
        <v>1786</v>
      </c>
      <c r="D53" t="s">
        <v>1810</v>
      </c>
      <c r="E53" t="s">
        <v>1811</v>
      </c>
      <c r="F53" t="s">
        <v>189</v>
      </c>
      <c r="I53" t="s">
        <v>1812</v>
      </c>
      <c r="J53" t="s">
        <v>1813</v>
      </c>
    </row>
    <row r="54" spans="1:10" x14ac:dyDescent="0.25">
      <c r="A54">
        <v>53</v>
      </c>
      <c r="B54">
        <v>2019</v>
      </c>
      <c r="C54" t="s">
        <v>463</v>
      </c>
      <c r="D54" t="s">
        <v>1814</v>
      </c>
      <c r="E54" t="s">
        <v>1815</v>
      </c>
      <c r="F54" t="s">
        <v>189</v>
      </c>
      <c r="I54" t="s">
        <v>1816</v>
      </c>
      <c r="J54" t="s">
        <v>1817</v>
      </c>
    </row>
    <row r="55" spans="1:10" x14ac:dyDescent="0.25">
      <c r="A55">
        <v>54</v>
      </c>
      <c r="B55">
        <v>2019</v>
      </c>
      <c r="C55" t="s">
        <v>331</v>
      </c>
      <c r="D55" t="s">
        <v>1818</v>
      </c>
      <c r="E55" t="s">
        <v>137</v>
      </c>
      <c r="F55" t="s">
        <v>189</v>
      </c>
      <c r="I55" t="s">
        <v>1819</v>
      </c>
      <c r="J55" t="s">
        <v>1820</v>
      </c>
    </row>
    <row r="56" spans="1:10" x14ac:dyDescent="0.25">
      <c r="A56">
        <v>55</v>
      </c>
      <c r="B56">
        <v>2019</v>
      </c>
      <c r="C56" t="s">
        <v>194</v>
      </c>
      <c r="D56" t="s">
        <v>1821</v>
      </c>
      <c r="E56" t="s">
        <v>1822</v>
      </c>
      <c r="F56" t="s">
        <v>189</v>
      </c>
      <c r="I56" t="s">
        <v>1823</v>
      </c>
      <c r="J56" t="s">
        <v>1824</v>
      </c>
    </row>
    <row r="57" spans="1:10" x14ac:dyDescent="0.25">
      <c r="A57">
        <v>56</v>
      </c>
      <c r="B57">
        <v>2019</v>
      </c>
      <c r="C57" t="s">
        <v>921</v>
      </c>
      <c r="D57" t="s">
        <v>1825</v>
      </c>
      <c r="E57" t="s">
        <v>1826</v>
      </c>
      <c r="F57" t="s">
        <v>189</v>
      </c>
      <c r="I57" t="s">
        <v>1827</v>
      </c>
      <c r="J57" t="s">
        <v>1828</v>
      </c>
    </row>
    <row r="58" spans="1:10" x14ac:dyDescent="0.25">
      <c r="A58">
        <v>57</v>
      </c>
      <c r="B58">
        <v>2019</v>
      </c>
      <c r="C58" t="s">
        <v>331</v>
      </c>
      <c r="D58" t="s">
        <v>1829</v>
      </c>
      <c r="E58" t="s">
        <v>1830</v>
      </c>
      <c r="F58" t="s">
        <v>189</v>
      </c>
      <c r="I58" t="s">
        <v>1831</v>
      </c>
      <c r="J58" t="s">
        <v>1832</v>
      </c>
    </row>
    <row r="59" spans="1:10" x14ac:dyDescent="0.25">
      <c r="A59">
        <v>58</v>
      </c>
      <c r="B59">
        <v>2019</v>
      </c>
      <c r="C59" t="s">
        <v>331</v>
      </c>
      <c r="D59" t="s">
        <v>1833</v>
      </c>
      <c r="E59" t="s">
        <v>1834</v>
      </c>
      <c r="F59" t="s">
        <v>189</v>
      </c>
      <c r="I59" t="s">
        <v>1835</v>
      </c>
      <c r="J59" t="s">
        <v>1836</v>
      </c>
    </row>
    <row r="60" spans="1:10" x14ac:dyDescent="0.25">
      <c r="A60">
        <v>59</v>
      </c>
      <c r="B60">
        <v>2019</v>
      </c>
      <c r="C60" t="s">
        <v>925</v>
      </c>
      <c r="D60" t="s">
        <v>1837</v>
      </c>
      <c r="E60" t="s">
        <v>1838</v>
      </c>
      <c r="F60" t="s">
        <v>189</v>
      </c>
      <c r="I60" t="s">
        <v>1839</v>
      </c>
      <c r="J60" t="s">
        <v>1840</v>
      </c>
    </row>
    <row r="61" spans="1:10" x14ac:dyDescent="0.25">
      <c r="A61">
        <v>60</v>
      </c>
      <c r="B61">
        <v>2019</v>
      </c>
      <c r="C61" t="s">
        <v>463</v>
      </c>
      <c r="D61" t="s">
        <v>1841</v>
      </c>
      <c r="E61" t="s">
        <v>1842</v>
      </c>
      <c r="F61" t="s">
        <v>189</v>
      </c>
      <c r="I61" t="s">
        <v>1843</v>
      </c>
      <c r="J61" t="s">
        <v>1844</v>
      </c>
    </row>
    <row r="62" spans="1:10" x14ac:dyDescent="0.25">
      <c r="A62">
        <v>61</v>
      </c>
      <c r="B62">
        <v>2019</v>
      </c>
      <c r="C62" t="s">
        <v>921</v>
      </c>
      <c r="D62" t="s">
        <v>1845</v>
      </c>
      <c r="E62" t="s">
        <v>1846</v>
      </c>
      <c r="F62" t="s">
        <v>189</v>
      </c>
      <c r="I62" t="s">
        <v>1847</v>
      </c>
      <c r="J62" t="s">
        <v>1848</v>
      </c>
    </row>
    <row r="63" spans="1:10" x14ac:dyDescent="0.25">
      <c r="A63">
        <v>62</v>
      </c>
      <c r="B63">
        <v>2019</v>
      </c>
      <c r="C63" t="s">
        <v>201</v>
      </c>
      <c r="D63" t="s">
        <v>1849</v>
      </c>
      <c r="E63" t="s">
        <v>1850</v>
      </c>
      <c r="F63" t="s">
        <v>189</v>
      </c>
      <c r="I63" t="s">
        <v>1851</v>
      </c>
      <c r="J63" t="s">
        <v>1852</v>
      </c>
    </row>
    <row r="64" spans="1:10" x14ac:dyDescent="0.25">
      <c r="A64">
        <v>63</v>
      </c>
      <c r="B64">
        <v>2019</v>
      </c>
      <c r="C64" t="s">
        <v>324</v>
      </c>
      <c r="D64" t="s">
        <v>1853</v>
      </c>
      <c r="E64" t="s">
        <v>1854</v>
      </c>
      <c r="F64" t="s">
        <v>189</v>
      </c>
      <c r="I64" t="s">
        <v>1855</v>
      </c>
      <c r="J64" t="s">
        <v>1856</v>
      </c>
    </row>
    <row r="65" spans="1:10" x14ac:dyDescent="0.25">
      <c r="A65">
        <v>64</v>
      </c>
      <c r="B65">
        <v>2019</v>
      </c>
      <c r="C65" t="s">
        <v>1857</v>
      </c>
      <c r="D65" t="s">
        <v>1858</v>
      </c>
      <c r="E65" t="s">
        <v>1859</v>
      </c>
      <c r="F65" t="s">
        <v>189</v>
      </c>
      <c r="I65" t="s">
        <v>1860</v>
      </c>
      <c r="J65" t="s">
        <v>1861</v>
      </c>
    </row>
    <row r="66" spans="1:10" x14ac:dyDescent="0.25">
      <c r="A66">
        <v>65</v>
      </c>
      <c r="B66">
        <v>2019</v>
      </c>
      <c r="C66" t="s">
        <v>309</v>
      </c>
      <c r="D66" t="s">
        <v>1862</v>
      </c>
      <c r="E66" t="s">
        <v>1863</v>
      </c>
      <c r="F66" t="s">
        <v>189</v>
      </c>
      <c r="I66" t="s">
        <v>1864</v>
      </c>
      <c r="J66" t="s">
        <v>1865</v>
      </c>
    </row>
    <row r="67" spans="1:10" x14ac:dyDescent="0.25">
      <c r="A67">
        <v>66</v>
      </c>
      <c r="B67">
        <v>2019</v>
      </c>
      <c r="C67" t="s">
        <v>1407</v>
      </c>
      <c r="D67" t="s">
        <v>1866</v>
      </c>
      <c r="E67" t="s">
        <v>1409</v>
      </c>
      <c r="F67" t="s">
        <v>189</v>
      </c>
      <c r="I67" t="s">
        <v>1867</v>
      </c>
      <c r="J67" t="s">
        <v>1868</v>
      </c>
    </row>
    <row r="68" spans="1:10" x14ac:dyDescent="0.25">
      <c r="A68">
        <v>67</v>
      </c>
      <c r="B68">
        <v>2019</v>
      </c>
      <c r="C68" t="s">
        <v>194</v>
      </c>
      <c r="D68" t="s">
        <v>1869</v>
      </c>
      <c r="E68" t="s">
        <v>1870</v>
      </c>
      <c r="F68" t="s">
        <v>189</v>
      </c>
      <c r="I68" t="s">
        <v>1871</v>
      </c>
      <c r="J68" t="s">
        <v>1872</v>
      </c>
    </row>
    <row r="69" spans="1:10" x14ac:dyDescent="0.25">
      <c r="A69">
        <v>68</v>
      </c>
      <c r="B69">
        <v>2019</v>
      </c>
      <c r="C69" t="s">
        <v>201</v>
      </c>
      <c r="D69" t="s">
        <v>1873</v>
      </c>
      <c r="E69" t="s">
        <v>1874</v>
      </c>
      <c r="F69" t="s">
        <v>189</v>
      </c>
      <c r="I69" t="s">
        <v>1875</v>
      </c>
      <c r="J69" t="s">
        <v>1876</v>
      </c>
    </row>
    <row r="70" spans="1:10" x14ac:dyDescent="0.25">
      <c r="A70">
        <v>69</v>
      </c>
      <c r="B70">
        <v>2019</v>
      </c>
      <c r="C70" t="s">
        <v>259</v>
      </c>
      <c r="D70" t="s">
        <v>1877</v>
      </c>
      <c r="E70" t="s">
        <v>1878</v>
      </c>
      <c r="F70" t="s">
        <v>189</v>
      </c>
      <c r="I70" t="s">
        <v>1879</v>
      </c>
      <c r="J70" t="s">
        <v>1880</v>
      </c>
    </row>
    <row r="71" spans="1:10" x14ac:dyDescent="0.25">
      <c r="A71">
        <v>70</v>
      </c>
      <c r="B71">
        <v>2019</v>
      </c>
      <c r="C71" t="s">
        <v>259</v>
      </c>
      <c r="D71" t="s">
        <v>1881</v>
      </c>
      <c r="E71" t="s">
        <v>1882</v>
      </c>
      <c r="F71" t="s">
        <v>189</v>
      </c>
      <c r="I71" t="s">
        <v>1883</v>
      </c>
      <c r="J71" t="s">
        <v>1884</v>
      </c>
    </row>
    <row r="72" spans="1:10" x14ac:dyDescent="0.25">
      <c r="A72">
        <v>71</v>
      </c>
      <c r="B72">
        <v>2019</v>
      </c>
      <c r="C72" t="s">
        <v>208</v>
      </c>
      <c r="D72" t="s">
        <v>1885</v>
      </c>
      <c r="E72" t="s">
        <v>1886</v>
      </c>
      <c r="F72" t="s">
        <v>189</v>
      </c>
      <c r="I72" t="s">
        <v>1887</v>
      </c>
      <c r="J72" t="s">
        <v>1888</v>
      </c>
    </row>
    <row r="73" spans="1:10" x14ac:dyDescent="0.25">
      <c r="A73">
        <v>72</v>
      </c>
      <c r="B73">
        <v>2019</v>
      </c>
      <c r="C73" t="s">
        <v>319</v>
      </c>
      <c r="D73" t="s">
        <v>1889</v>
      </c>
      <c r="E73" t="s">
        <v>1890</v>
      </c>
      <c r="F73" t="s">
        <v>189</v>
      </c>
      <c r="I73" t="s">
        <v>1891</v>
      </c>
      <c r="J73" t="s">
        <v>1892</v>
      </c>
    </row>
    <row r="74" spans="1:10" x14ac:dyDescent="0.25">
      <c r="A74">
        <v>73</v>
      </c>
      <c r="B74">
        <v>2019</v>
      </c>
      <c r="C74" t="s">
        <v>1893</v>
      </c>
      <c r="D74" t="s">
        <v>1894</v>
      </c>
      <c r="E74" t="s">
        <v>1895</v>
      </c>
      <c r="F74" t="s">
        <v>189</v>
      </c>
      <c r="I74" t="s">
        <v>1896</v>
      </c>
      <c r="J74" t="s">
        <v>1897</v>
      </c>
    </row>
    <row r="75" spans="1:10" x14ac:dyDescent="0.25">
      <c r="A75">
        <v>74</v>
      </c>
      <c r="B75">
        <v>2019</v>
      </c>
      <c r="C75" t="s">
        <v>208</v>
      </c>
      <c r="D75" t="s">
        <v>1898</v>
      </c>
      <c r="E75" t="s">
        <v>1655</v>
      </c>
      <c r="F75" t="s">
        <v>189</v>
      </c>
      <c r="I75" t="s">
        <v>1899</v>
      </c>
      <c r="J75" t="s">
        <v>1900</v>
      </c>
    </row>
    <row r="76" spans="1:10" x14ac:dyDescent="0.25">
      <c r="A76">
        <v>75</v>
      </c>
      <c r="B76">
        <v>2019</v>
      </c>
      <c r="C76" t="s">
        <v>1400</v>
      </c>
      <c r="D76" t="s">
        <v>1901</v>
      </c>
      <c r="E76" t="s">
        <v>1902</v>
      </c>
      <c r="F76" t="s">
        <v>189</v>
      </c>
      <c r="I76" t="s">
        <v>1903</v>
      </c>
      <c r="J76" t="s">
        <v>1904</v>
      </c>
    </row>
    <row r="77" spans="1:10" x14ac:dyDescent="0.25">
      <c r="A77">
        <v>76</v>
      </c>
      <c r="B77">
        <v>2019</v>
      </c>
      <c r="C77" t="s">
        <v>649</v>
      </c>
      <c r="D77" t="s">
        <v>1905</v>
      </c>
      <c r="E77" t="s">
        <v>1906</v>
      </c>
      <c r="F77" t="s">
        <v>189</v>
      </c>
      <c r="I77" t="s">
        <v>1907</v>
      </c>
      <c r="J77" t="s">
        <v>1908</v>
      </c>
    </row>
    <row r="78" spans="1:10" x14ac:dyDescent="0.25">
      <c r="A78">
        <v>77</v>
      </c>
      <c r="B78">
        <v>2019</v>
      </c>
      <c r="C78" t="s">
        <v>208</v>
      </c>
      <c r="D78" t="s">
        <v>1909</v>
      </c>
      <c r="E78" t="s">
        <v>1655</v>
      </c>
      <c r="F78" t="s">
        <v>189</v>
      </c>
      <c r="I78" t="s">
        <v>1910</v>
      </c>
      <c r="J78" t="s">
        <v>1911</v>
      </c>
    </row>
    <row r="79" spans="1:10" x14ac:dyDescent="0.25">
      <c r="A79">
        <v>78</v>
      </c>
      <c r="B79">
        <v>2019</v>
      </c>
      <c r="C79" t="s">
        <v>649</v>
      </c>
      <c r="D79" t="s">
        <v>1912</v>
      </c>
      <c r="E79" t="s">
        <v>1913</v>
      </c>
      <c r="F79" t="s">
        <v>189</v>
      </c>
      <c r="I79" t="s">
        <v>1914</v>
      </c>
      <c r="J79" t="s">
        <v>1915</v>
      </c>
    </row>
    <row r="80" spans="1:10" ht="60" x14ac:dyDescent="0.25">
      <c r="A80">
        <v>79</v>
      </c>
      <c r="B80">
        <v>2019</v>
      </c>
      <c r="C80" t="s">
        <v>194</v>
      </c>
      <c r="D80" s="11" t="s">
        <v>1916</v>
      </c>
      <c r="E80" t="s">
        <v>1917</v>
      </c>
      <c r="F80" t="s">
        <v>189</v>
      </c>
      <c r="I80" t="s">
        <v>1918</v>
      </c>
      <c r="J80" t="s">
        <v>1919</v>
      </c>
    </row>
    <row r="81" spans="1:10" x14ac:dyDescent="0.25">
      <c r="A81">
        <v>80</v>
      </c>
      <c r="B81">
        <v>2019</v>
      </c>
      <c r="C81" t="s">
        <v>194</v>
      </c>
      <c r="D81" t="s">
        <v>1920</v>
      </c>
      <c r="E81" t="s">
        <v>1921</v>
      </c>
      <c r="F81" t="s">
        <v>189</v>
      </c>
      <c r="I81" t="s">
        <v>1922</v>
      </c>
      <c r="J81" t="s">
        <v>1923</v>
      </c>
    </row>
    <row r="82" spans="1:10" x14ac:dyDescent="0.25">
      <c r="A82">
        <v>81</v>
      </c>
      <c r="B82">
        <v>2019</v>
      </c>
      <c r="C82" t="s">
        <v>331</v>
      </c>
      <c r="D82" t="s">
        <v>1924</v>
      </c>
      <c r="E82" t="s">
        <v>1925</v>
      </c>
      <c r="F82" t="s">
        <v>189</v>
      </c>
      <c r="I82" t="s">
        <v>1926</v>
      </c>
      <c r="J82" t="s">
        <v>1927</v>
      </c>
    </row>
    <row r="83" spans="1:10" x14ac:dyDescent="0.25">
      <c r="A83">
        <v>82</v>
      </c>
      <c r="B83">
        <v>2019</v>
      </c>
      <c r="C83" t="s">
        <v>319</v>
      </c>
      <c r="D83" t="s">
        <v>1928</v>
      </c>
      <c r="E83" t="s">
        <v>1929</v>
      </c>
      <c r="F83" t="s">
        <v>189</v>
      </c>
      <c r="I83" t="s">
        <v>1930</v>
      </c>
      <c r="J83" t="s">
        <v>1931</v>
      </c>
    </row>
    <row r="84" spans="1:10" x14ac:dyDescent="0.25">
      <c r="A84">
        <v>83</v>
      </c>
      <c r="B84">
        <v>2019</v>
      </c>
      <c r="C84" t="s">
        <v>1932</v>
      </c>
      <c r="D84" t="s">
        <v>1933</v>
      </c>
      <c r="E84" t="s">
        <v>1934</v>
      </c>
      <c r="F84" t="s">
        <v>189</v>
      </c>
      <c r="I84" t="s">
        <v>1935</v>
      </c>
      <c r="J84" t="s">
        <v>1936</v>
      </c>
    </row>
    <row r="85" spans="1:10" x14ac:dyDescent="0.25">
      <c r="A85">
        <v>84</v>
      </c>
    </row>
    <row r="86" spans="1:10" x14ac:dyDescent="0.25">
      <c r="A86">
        <v>85</v>
      </c>
      <c r="C86" t="s">
        <v>804</v>
      </c>
      <c r="D86" t="s">
        <v>805</v>
      </c>
      <c r="E86" t="s">
        <v>806</v>
      </c>
    </row>
    <row r="87" spans="1:10" x14ac:dyDescent="0.25">
      <c r="A87">
        <v>86</v>
      </c>
      <c r="D87" t="s">
        <v>807</v>
      </c>
      <c r="E87" t="s">
        <v>808</v>
      </c>
    </row>
    <row r="88" spans="1:10" x14ac:dyDescent="0.25">
      <c r="A88">
        <v>87</v>
      </c>
    </row>
    <row r="89" spans="1:10" x14ac:dyDescent="0.25">
      <c r="A89">
        <v>88</v>
      </c>
    </row>
    <row r="90" spans="1:10" x14ac:dyDescent="0.25">
      <c r="A90">
        <v>89</v>
      </c>
    </row>
    <row r="91" spans="1:10" x14ac:dyDescent="0.25">
      <c r="A91">
        <v>90</v>
      </c>
    </row>
    <row r="92" spans="1:10" x14ac:dyDescent="0.25">
      <c r="A92">
        <v>91</v>
      </c>
    </row>
    <row r="93" spans="1:10" x14ac:dyDescent="0.25">
      <c r="A93">
        <v>92</v>
      </c>
    </row>
    <row r="94" spans="1:10" x14ac:dyDescent="0.25">
      <c r="A94">
        <v>93</v>
      </c>
    </row>
    <row r="95" spans="1:10" x14ac:dyDescent="0.25">
      <c r="A95">
        <v>94</v>
      </c>
    </row>
    <row r="96" spans="1:10" x14ac:dyDescent="0.25">
      <c r="A96">
        <v>95</v>
      </c>
    </row>
    <row r="97" spans="1:1" x14ac:dyDescent="0.25">
      <c r="A97">
        <v>96</v>
      </c>
    </row>
    <row r="98" spans="1:1" x14ac:dyDescent="0.25">
      <c r="A98">
        <v>97</v>
      </c>
    </row>
    <row r="99" spans="1:1" x14ac:dyDescent="0.25">
      <c r="A99">
        <v>98</v>
      </c>
    </row>
    <row r="100" spans="1:1" x14ac:dyDescent="0.25">
      <c r="A100">
        <v>99</v>
      </c>
    </row>
    <row r="101" spans="1:1" x14ac:dyDescent="0.25">
      <c r="A101">
        <v>100</v>
      </c>
    </row>
    <row r="102" spans="1:1" x14ac:dyDescent="0.25">
      <c r="A102">
        <v>101</v>
      </c>
    </row>
    <row r="103" spans="1:1" x14ac:dyDescent="0.25">
      <c r="A103">
        <v>102</v>
      </c>
    </row>
    <row r="104" spans="1:1" x14ac:dyDescent="0.25">
      <c r="A104">
        <v>103</v>
      </c>
    </row>
    <row r="105" spans="1:1" x14ac:dyDescent="0.25">
      <c r="A105">
        <v>104</v>
      </c>
    </row>
    <row r="106" spans="1:1" x14ac:dyDescent="0.25">
      <c r="A106">
        <v>105</v>
      </c>
    </row>
    <row r="107" spans="1:1" x14ac:dyDescent="0.25">
      <c r="A107">
        <v>106</v>
      </c>
    </row>
    <row r="108" spans="1:1" x14ac:dyDescent="0.25">
      <c r="A108">
        <v>107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68"/>
  <sheetViews>
    <sheetView zoomScaleNormal="100" workbookViewId="0"/>
  </sheetViews>
  <sheetFormatPr defaultColWidth="8.7109375" defaultRowHeight="15" x14ac:dyDescent="0.25"/>
  <cols>
    <col min="1" max="3" width="15" customWidth="1"/>
    <col min="4" max="4" width="40" customWidth="1"/>
    <col min="5" max="5" width="25" customWidth="1"/>
    <col min="6" max="12" width="15" customWidth="1"/>
  </cols>
  <sheetData>
    <row r="1" spans="1:12" x14ac:dyDescent="0.25">
      <c r="A1" s="9" t="s">
        <v>177</v>
      </c>
      <c r="B1" s="9" t="s">
        <v>23</v>
      </c>
      <c r="C1" s="9" t="s">
        <v>46</v>
      </c>
      <c r="D1" s="9" t="s">
        <v>178</v>
      </c>
      <c r="E1" s="9" t="s">
        <v>45</v>
      </c>
      <c r="F1" s="9" t="s">
        <v>179</v>
      </c>
      <c r="G1" s="9" t="s">
        <v>180</v>
      </c>
      <c r="H1" s="9" t="s">
        <v>181</v>
      </c>
      <c r="I1" s="9" t="s">
        <v>182</v>
      </c>
      <c r="J1" s="9" t="s">
        <v>183</v>
      </c>
      <c r="K1" s="9" t="s">
        <v>56</v>
      </c>
      <c r="L1" s="9" t="s">
        <v>184</v>
      </c>
    </row>
    <row r="2" spans="1:12" x14ac:dyDescent="0.25">
      <c r="A2">
        <v>1</v>
      </c>
      <c r="B2">
        <v>2017</v>
      </c>
      <c r="C2" t="s">
        <v>201</v>
      </c>
      <c r="D2" t="s">
        <v>1937</v>
      </c>
      <c r="E2" t="s">
        <v>1938</v>
      </c>
      <c r="F2" t="s">
        <v>189</v>
      </c>
      <c r="I2" t="s">
        <v>1939</v>
      </c>
      <c r="J2" t="s">
        <v>1940</v>
      </c>
    </row>
    <row r="3" spans="1:12" x14ac:dyDescent="0.25">
      <c r="A3">
        <v>2</v>
      </c>
      <c r="B3">
        <v>2017</v>
      </c>
      <c r="C3" t="s">
        <v>201</v>
      </c>
      <c r="D3" t="s">
        <v>1941</v>
      </c>
      <c r="E3" t="s">
        <v>1938</v>
      </c>
      <c r="F3" t="s">
        <v>189</v>
      </c>
      <c r="I3" t="s">
        <v>1942</v>
      </c>
      <c r="J3" t="s">
        <v>1943</v>
      </c>
    </row>
    <row r="4" spans="1:12" x14ac:dyDescent="0.25">
      <c r="A4">
        <v>3</v>
      </c>
      <c r="B4">
        <v>2017</v>
      </c>
      <c r="C4" t="s">
        <v>324</v>
      </c>
      <c r="D4" t="s">
        <v>1944</v>
      </c>
      <c r="E4" t="s">
        <v>1945</v>
      </c>
      <c r="F4" t="s">
        <v>189</v>
      </c>
      <c r="I4" t="s">
        <v>1946</v>
      </c>
      <c r="J4" t="s">
        <v>1947</v>
      </c>
    </row>
    <row r="5" spans="1:12" x14ac:dyDescent="0.25">
      <c r="A5">
        <v>4</v>
      </c>
      <c r="B5">
        <v>2017</v>
      </c>
      <c r="C5" t="s">
        <v>194</v>
      </c>
      <c r="D5" t="s">
        <v>1948</v>
      </c>
      <c r="E5" t="s">
        <v>1949</v>
      </c>
      <c r="F5" t="s">
        <v>189</v>
      </c>
      <c r="I5" t="s">
        <v>1950</v>
      </c>
      <c r="J5" t="s">
        <v>1951</v>
      </c>
    </row>
    <row r="6" spans="1:12" x14ac:dyDescent="0.25">
      <c r="A6">
        <v>5</v>
      </c>
      <c r="B6">
        <v>2017</v>
      </c>
      <c r="C6" t="s">
        <v>194</v>
      </c>
      <c r="D6" t="s">
        <v>1952</v>
      </c>
      <c r="E6" t="s">
        <v>1953</v>
      </c>
      <c r="F6" t="s">
        <v>189</v>
      </c>
      <c r="I6" t="s">
        <v>1954</v>
      </c>
      <c r="J6" t="s">
        <v>1955</v>
      </c>
    </row>
    <row r="7" spans="1:12" x14ac:dyDescent="0.25">
      <c r="A7">
        <v>6</v>
      </c>
      <c r="B7">
        <v>2017</v>
      </c>
      <c r="C7" t="s">
        <v>201</v>
      </c>
      <c r="D7" t="s">
        <v>1956</v>
      </c>
      <c r="E7" t="s">
        <v>1957</v>
      </c>
      <c r="F7" t="s">
        <v>189</v>
      </c>
      <c r="I7" t="s">
        <v>1958</v>
      </c>
      <c r="J7" t="s">
        <v>1959</v>
      </c>
    </row>
    <row r="8" spans="1:12" x14ac:dyDescent="0.25">
      <c r="A8">
        <v>7</v>
      </c>
      <c r="B8">
        <v>2017</v>
      </c>
      <c r="C8" t="s">
        <v>201</v>
      </c>
      <c r="D8" t="s">
        <v>1960</v>
      </c>
      <c r="E8" t="s">
        <v>1961</v>
      </c>
      <c r="F8" t="s">
        <v>189</v>
      </c>
      <c r="I8" t="s">
        <v>1962</v>
      </c>
      <c r="J8" t="s">
        <v>1963</v>
      </c>
    </row>
    <row r="9" spans="1:12" x14ac:dyDescent="0.25">
      <c r="A9">
        <v>8</v>
      </c>
      <c r="B9">
        <v>2017</v>
      </c>
      <c r="C9" t="s">
        <v>201</v>
      </c>
      <c r="D9" t="s">
        <v>1964</v>
      </c>
      <c r="E9" t="s">
        <v>1965</v>
      </c>
      <c r="F9" t="s">
        <v>189</v>
      </c>
      <c r="I9" t="s">
        <v>1966</v>
      </c>
      <c r="J9" t="s">
        <v>1967</v>
      </c>
    </row>
    <row r="10" spans="1:12" x14ac:dyDescent="0.25">
      <c r="A10">
        <v>9</v>
      </c>
      <c r="B10">
        <v>2017</v>
      </c>
      <c r="C10" t="s">
        <v>324</v>
      </c>
      <c r="D10" t="s">
        <v>1968</v>
      </c>
      <c r="E10" t="s">
        <v>1969</v>
      </c>
      <c r="F10" t="s">
        <v>189</v>
      </c>
      <c r="I10" t="s">
        <v>1970</v>
      </c>
      <c r="J10" t="s">
        <v>1971</v>
      </c>
    </row>
    <row r="11" spans="1:12" x14ac:dyDescent="0.25">
      <c r="A11">
        <v>10</v>
      </c>
      <c r="B11">
        <v>2017</v>
      </c>
      <c r="C11" t="s">
        <v>331</v>
      </c>
      <c r="D11" t="s">
        <v>1972</v>
      </c>
      <c r="E11" t="s">
        <v>1973</v>
      </c>
      <c r="F11" t="s">
        <v>189</v>
      </c>
      <c r="I11" t="s">
        <v>1974</v>
      </c>
      <c r="J11" t="s">
        <v>1975</v>
      </c>
    </row>
    <row r="12" spans="1:12" x14ac:dyDescent="0.25">
      <c r="A12">
        <v>11</v>
      </c>
      <c r="B12">
        <v>2017</v>
      </c>
      <c r="C12" t="s">
        <v>649</v>
      </c>
      <c r="D12" t="s">
        <v>1976</v>
      </c>
      <c r="E12" t="s">
        <v>1977</v>
      </c>
      <c r="F12" t="s">
        <v>189</v>
      </c>
      <c r="I12" t="s">
        <v>1978</v>
      </c>
      <c r="J12" t="s">
        <v>1979</v>
      </c>
    </row>
    <row r="13" spans="1:12" x14ac:dyDescent="0.25">
      <c r="A13">
        <v>12</v>
      </c>
      <c r="B13">
        <v>2017</v>
      </c>
      <c r="C13" t="s">
        <v>259</v>
      </c>
      <c r="D13" t="s">
        <v>1980</v>
      </c>
      <c r="E13" t="s">
        <v>1981</v>
      </c>
      <c r="F13" t="s">
        <v>189</v>
      </c>
      <c r="I13" t="s">
        <v>1982</v>
      </c>
      <c r="J13" t="s">
        <v>1983</v>
      </c>
    </row>
    <row r="14" spans="1:12" x14ac:dyDescent="0.25">
      <c r="A14">
        <v>13</v>
      </c>
      <c r="B14">
        <v>2017</v>
      </c>
      <c r="C14" t="s">
        <v>194</v>
      </c>
      <c r="D14" t="s">
        <v>1984</v>
      </c>
      <c r="E14" t="s">
        <v>1985</v>
      </c>
      <c r="F14" t="s">
        <v>189</v>
      </c>
      <c r="I14" t="s">
        <v>1986</v>
      </c>
      <c r="J14" t="s">
        <v>1987</v>
      </c>
    </row>
    <row r="15" spans="1:12" x14ac:dyDescent="0.25">
      <c r="A15">
        <v>14</v>
      </c>
      <c r="B15">
        <v>2017</v>
      </c>
      <c r="C15" t="s">
        <v>201</v>
      </c>
      <c r="D15" t="s">
        <v>1988</v>
      </c>
      <c r="E15" t="s">
        <v>1989</v>
      </c>
      <c r="F15" t="s">
        <v>189</v>
      </c>
      <c r="I15" t="s">
        <v>1990</v>
      </c>
      <c r="J15" t="s">
        <v>1991</v>
      </c>
    </row>
    <row r="16" spans="1:12" x14ac:dyDescent="0.25">
      <c r="A16">
        <v>15</v>
      </c>
      <c r="B16">
        <v>2017</v>
      </c>
      <c r="C16" t="s">
        <v>1992</v>
      </c>
      <c r="D16" t="s">
        <v>1993</v>
      </c>
      <c r="E16" t="s">
        <v>1994</v>
      </c>
      <c r="F16" t="s">
        <v>189</v>
      </c>
      <c r="I16" t="s">
        <v>1995</v>
      </c>
      <c r="J16" t="s">
        <v>1996</v>
      </c>
    </row>
    <row r="17" spans="1:10" x14ac:dyDescent="0.25">
      <c r="A17">
        <v>16</v>
      </c>
      <c r="B17">
        <v>2017</v>
      </c>
      <c r="C17" t="s">
        <v>331</v>
      </c>
      <c r="D17" t="s">
        <v>1997</v>
      </c>
      <c r="E17" t="s">
        <v>1542</v>
      </c>
      <c r="F17" t="s">
        <v>189</v>
      </c>
      <c r="I17" t="s">
        <v>1998</v>
      </c>
      <c r="J17" t="s">
        <v>1999</v>
      </c>
    </row>
    <row r="18" spans="1:10" x14ac:dyDescent="0.25">
      <c r="A18">
        <v>17</v>
      </c>
      <c r="B18">
        <v>2017</v>
      </c>
      <c r="C18" t="s">
        <v>194</v>
      </c>
      <c r="D18" t="s">
        <v>2000</v>
      </c>
      <c r="E18" t="s">
        <v>2001</v>
      </c>
      <c r="F18" t="s">
        <v>189</v>
      </c>
      <c r="I18" t="s">
        <v>2002</v>
      </c>
      <c r="J18" t="s">
        <v>2003</v>
      </c>
    </row>
    <row r="19" spans="1:10" x14ac:dyDescent="0.25">
      <c r="A19">
        <v>18</v>
      </c>
      <c r="B19">
        <v>2017</v>
      </c>
      <c r="C19" t="s">
        <v>331</v>
      </c>
      <c r="D19" t="s">
        <v>2004</v>
      </c>
      <c r="E19" t="s">
        <v>2005</v>
      </c>
      <c r="F19" t="s">
        <v>189</v>
      </c>
      <c r="I19" t="s">
        <v>2006</v>
      </c>
      <c r="J19" t="s">
        <v>2007</v>
      </c>
    </row>
    <row r="20" spans="1:10" x14ac:dyDescent="0.25">
      <c r="A20">
        <v>19</v>
      </c>
      <c r="B20">
        <v>2017</v>
      </c>
      <c r="C20" t="s">
        <v>925</v>
      </c>
      <c r="D20" t="s">
        <v>2008</v>
      </c>
      <c r="E20" t="s">
        <v>2009</v>
      </c>
      <c r="F20" t="s">
        <v>189</v>
      </c>
      <c r="I20" t="s">
        <v>2010</v>
      </c>
      <c r="J20" t="s">
        <v>2011</v>
      </c>
    </row>
    <row r="21" spans="1:10" x14ac:dyDescent="0.25">
      <c r="A21">
        <v>20</v>
      </c>
      <c r="B21">
        <v>2017</v>
      </c>
      <c r="C21" t="s">
        <v>324</v>
      </c>
      <c r="D21" t="s">
        <v>2012</v>
      </c>
      <c r="E21" t="s">
        <v>1807</v>
      </c>
      <c r="F21" t="s">
        <v>189</v>
      </c>
      <c r="I21" t="s">
        <v>2013</v>
      </c>
      <c r="J21" t="s">
        <v>2014</v>
      </c>
    </row>
    <row r="22" spans="1:10" x14ac:dyDescent="0.25">
      <c r="A22">
        <v>21</v>
      </c>
      <c r="B22">
        <v>2017</v>
      </c>
      <c r="C22" t="s">
        <v>324</v>
      </c>
      <c r="D22" t="s">
        <v>2015</v>
      </c>
      <c r="E22" t="s">
        <v>2016</v>
      </c>
      <c r="F22" t="s">
        <v>189</v>
      </c>
      <c r="I22" t="s">
        <v>2017</v>
      </c>
      <c r="J22" t="s">
        <v>2018</v>
      </c>
    </row>
    <row r="23" spans="1:10" x14ac:dyDescent="0.25">
      <c r="A23">
        <v>22</v>
      </c>
      <c r="B23">
        <v>2017</v>
      </c>
      <c r="C23" t="s">
        <v>194</v>
      </c>
      <c r="D23" t="s">
        <v>2019</v>
      </c>
      <c r="E23" t="s">
        <v>2020</v>
      </c>
      <c r="F23" t="s">
        <v>189</v>
      </c>
      <c r="I23" t="s">
        <v>2021</v>
      </c>
      <c r="J23" t="s">
        <v>2022</v>
      </c>
    </row>
    <row r="24" spans="1:10" x14ac:dyDescent="0.25">
      <c r="A24">
        <v>23</v>
      </c>
    </row>
    <row r="25" spans="1:10" x14ac:dyDescent="0.25">
      <c r="A25">
        <v>24</v>
      </c>
      <c r="B25">
        <v>2016</v>
      </c>
      <c r="C25" t="s">
        <v>463</v>
      </c>
      <c r="D25" t="s">
        <v>2023</v>
      </c>
      <c r="E25" t="s">
        <v>2024</v>
      </c>
      <c r="F25" t="s">
        <v>1789</v>
      </c>
      <c r="I25" t="s">
        <v>2025</v>
      </c>
      <c r="J25" t="s">
        <v>2026</v>
      </c>
    </row>
    <row r="26" spans="1:10" x14ac:dyDescent="0.25">
      <c r="A26">
        <v>25</v>
      </c>
      <c r="B26">
        <v>2016</v>
      </c>
      <c r="C26" t="s">
        <v>463</v>
      </c>
      <c r="D26" t="s">
        <v>2027</v>
      </c>
      <c r="E26" t="s">
        <v>2028</v>
      </c>
      <c r="F26" t="s">
        <v>2029</v>
      </c>
      <c r="I26" t="s">
        <v>2030</v>
      </c>
      <c r="J26" t="s">
        <v>2031</v>
      </c>
    </row>
    <row r="27" spans="1:10" x14ac:dyDescent="0.25">
      <c r="A27">
        <v>26</v>
      </c>
      <c r="B27">
        <v>2016</v>
      </c>
      <c r="C27" t="s">
        <v>463</v>
      </c>
      <c r="D27" t="s">
        <v>2032</v>
      </c>
      <c r="E27" t="s">
        <v>2033</v>
      </c>
      <c r="F27" t="s">
        <v>2029</v>
      </c>
      <c r="I27" t="s">
        <v>2034</v>
      </c>
      <c r="J27" t="s">
        <v>2035</v>
      </c>
    </row>
    <row r="28" spans="1:10" x14ac:dyDescent="0.25">
      <c r="A28">
        <v>27</v>
      </c>
      <c r="B28">
        <v>2016</v>
      </c>
      <c r="C28" t="s">
        <v>463</v>
      </c>
      <c r="D28" t="s">
        <v>2036</v>
      </c>
      <c r="E28" t="s">
        <v>2037</v>
      </c>
      <c r="F28" t="s">
        <v>189</v>
      </c>
      <c r="I28" t="s">
        <v>2038</v>
      </c>
      <c r="J28" t="s">
        <v>2039</v>
      </c>
    </row>
    <row r="29" spans="1:10" x14ac:dyDescent="0.25">
      <c r="A29">
        <v>28</v>
      </c>
      <c r="B29">
        <v>2016</v>
      </c>
      <c r="C29" t="s">
        <v>324</v>
      </c>
      <c r="D29" t="s">
        <v>2040</v>
      </c>
      <c r="E29" t="s">
        <v>2041</v>
      </c>
      <c r="F29" t="s">
        <v>189</v>
      </c>
      <c r="I29" t="s">
        <v>2042</v>
      </c>
      <c r="J29" t="s">
        <v>2043</v>
      </c>
    </row>
    <row r="30" spans="1:10" x14ac:dyDescent="0.25">
      <c r="A30">
        <v>29</v>
      </c>
      <c r="B30">
        <v>2016</v>
      </c>
      <c r="C30" t="s">
        <v>1857</v>
      </c>
      <c r="D30" t="s">
        <v>2044</v>
      </c>
      <c r="E30" t="s">
        <v>2045</v>
      </c>
      <c r="F30" t="s">
        <v>189</v>
      </c>
      <c r="I30" t="s">
        <v>2046</v>
      </c>
      <c r="J30" t="s">
        <v>2047</v>
      </c>
    </row>
    <row r="31" spans="1:10" x14ac:dyDescent="0.25">
      <c r="A31">
        <v>30</v>
      </c>
      <c r="B31">
        <v>2016</v>
      </c>
      <c r="C31" t="s">
        <v>324</v>
      </c>
      <c r="D31" t="s">
        <v>2048</v>
      </c>
      <c r="E31" t="s">
        <v>2049</v>
      </c>
      <c r="F31" t="s">
        <v>189</v>
      </c>
      <c r="I31" t="s">
        <v>2050</v>
      </c>
      <c r="J31" t="s">
        <v>2051</v>
      </c>
    </row>
    <row r="32" spans="1:10" x14ac:dyDescent="0.25">
      <c r="A32">
        <v>31</v>
      </c>
      <c r="B32">
        <v>2016</v>
      </c>
      <c r="C32" t="s">
        <v>194</v>
      </c>
      <c r="D32" t="s">
        <v>2052</v>
      </c>
      <c r="E32" t="s">
        <v>2053</v>
      </c>
      <c r="F32" t="s">
        <v>189</v>
      </c>
      <c r="I32" t="s">
        <v>2054</v>
      </c>
      <c r="J32" t="s">
        <v>2055</v>
      </c>
    </row>
    <row r="33" spans="1:10" x14ac:dyDescent="0.25">
      <c r="A33">
        <v>32</v>
      </c>
      <c r="B33">
        <v>2016</v>
      </c>
      <c r="C33" t="s">
        <v>215</v>
      </c>
      <c r="D33" t="s">
        <v>2056</v>
      </c>
      <c r="E33" t="s">
        <v>2057</v>
      </c>
      <c r="F33" t="s">
        <v>189</v>
      </c>
      <c r="I33" t="s">
        <v>2058</v>
      </c>
      <c r="J33" t="s">
        <v>2059</v>
      </c>
    </row>
    <row r="34" spans="1:10" x14ac:dyDescent="0.25">
      <c r="A34">
        <v>33</v>
      </c>
      <c r="B34">
        <v>2016</v>
      </c>
      <c r="C34" t="s">
        <v>331</v>
      </c>
      <c r="D34" t="s">
        <v>2060</v>
      </c>
      <c r="E34" t="s">
        <v>139</v>
      </c>
      <c r="F34" t="s">
        <v>189</v>
      </c>
      <c r="I34" t="s">
        <v>2061</v>
      </c>
      <c r="J34" t="s">
        <v>2062</v>
      </c>
    </row>
    <row r="35" spans="1:10" x14ac:dyDescent="0.25">
      <c r="A35">
        <v>34</v>
      </c>
      <c r="B35">
        <v>2016</v>
      </c>
      <c r="C35" t="s">
        <v>304</v>
      </c>
      <c r="D35" t="s">
        <v>2063</v>
      </c>
      <c r="E35" t="s">
        <v>2064</v>
      </c>
      <c r="F35" t="s">
        <v>189</v>
      </c>
      <c r="I35" t="s">
        <v>2065</v>
      </c>
      <c r="J35" t="s">
        <v>2066</v>
      </c>
    </row>
    <row r="36" spans="1:10" x14ac:dyDescent="0.25">
      <c r="A36">
        <v>35</v>
      </c>
      <c r="B36">
        <v>2016</v>
      </c>
      <c r="C36" t="s">
        <v>304</v>
      </c>
      <c r="D36" t="s">
        <v>2067</v>
      </c>
      <c r="E36" t="s">
        <v>2068</v>
      </c>
      <c r="F36" t="s">
        <v>189</v>
      </c>
      <c r="I36" t="s">
        <v>2069</v>
      </c>
      <c r="J36" t="s">
        <v>2070</v>
      </c>
    </row>
    <row r="37" spans="1:10" x14ac:dyDescent="0.25">
      <c r="A37">
        <v>36</v>
      </c>
      <c r="B37">
        <v>2016</v>
      </c>
      <c r="C37" t="s">
        <v>304</v>
      </c>
      <c r="D37" t="s">
        <v>2071</v>
      </c>
      <c r="E37" t="s">
        <v>2072</v>
      </c>
      <c r="F37" t="s">
        <v>189</v>
      </c>
      <c r="I37" t="s">
        <v>2073</v>
      </c>
    </row>
    <row r="38" spans="1:10" x14ac:dyDescent="0.25">
      <c r="A38">
        <v>37</v>
      </c>
      <c r="B38">
        <v>2016</v>
      </c>
      <c r="C38" t="s">
        <v>304</v>
      </c>
      <c r="D38" t="s">
        <v>2074</v>
      </c>
      <c r="E38" t="s">
        <v>2075</v>
      </c>
      <c r="F38" t="s">
        <v>189</v>
      </c>
      <c r="I38" t="s">
        <v>2076</v>
      </c>
    </row>
    <row r="39" spans="1:10" x14ac:dyDescent="0.25">
      <c r="A39">
        <v>38</v>
      </c>
      <c r="B39">
        <v>2016</v>
      </c>
      <c r="C39" t="s">
        <v>194</v>
      </c>
      <c r="D39" t="s">
        <v>2077</v>
      </c>
      <c r="E39" t="s">
        <v>2078</v>
      </c>
      <c r="F39" t="s">
        <v>189</v>
      </c>
      <c r="I39" t="s">
        <v>2079</v>
      </c>
    </row>
    <row r="40" spans="1:10" x14ac:dyDescent="0.25">
      <c r="A40">
        <v>39</v>
      </c>
      <c r="B40">
        <v>2016</v>
      </c>
      <c r="D40" t="s">
        <v>2080</v>
      </c>
      <c r="E40" t="s">
        <v>2081</v>
      </c>
      <c r="F40" t="s">
        <v>189</v>
      </c>
      <c r="I40" t="s">
        <v>2082</v>
      </c>
    </row>
    <row r="41" spans="1:10" ht="135" x14ac:dyDescent="0.25">
      <c r="A41">
        <v>40</v>
      </c>
      <c r="B41">
        <v>2016</v>
      </c>
      <c r="D41" s="11" t="s">
        <v>2083</v>
      </c>
      <c r="E41" t="s">
        <v>2084</v>
      </c>
      <c r="F41" t="s">
        <v>189</v>
      </c>
      <c r="I41" s="11" t="s">
        <v>2085</v>
      </c>
    </row>
    <row r="42" spans="1:10" x14ac:dyDescent="0.25">
      <c r="A42">
        <v>41</v>
      </c>
      <c r="B42">
        <v>2016</v>
      </c>
      <c r="D42" t="s">
        <v>2086</v>
      </c>
      <c r="E42" t="s">
        <v>2087</v>
      </c>
      <c r="F42" t="s">
        <v>189</v>
      </c>
      <c r="I42" t="s">
        <v>2088</v>
      </c>
    </row>
    <row r="43" spans="1:10" x14ac:dyDescent="0.25">
      <c r="A43">
        <v>42</v>
      </c>
      <c r="B43">
        <v>2016</v>
      </c>
      <c r="D43" t="s">
        <v>2089</v>
      </c>
      <c r="E43" t="s">
        <v>2090</v>
      </c>
      <c r="F43" t="s">
        <v>189</v>
      </c>
      <c r="I43" t="s">
        <v>2091</v>
      </c>
    </row>
    <row r="44" spans="1:10" x14ac:dyDescent="0.25">
      <c r="A44">
        <v>43</v>
      </c>
      <c r="B44">
        <v>2016</v>
      </c>
      <c r="D44" t="s">
        <v>2092</v>
      </c>
      <c r="E44" t="s">
        <v>2093</v>
      </c>
      <c r="F44" t="s">
        <v>189</v>
      </c>
      <c r="I44" t="s">
        <v>2094</v>
      </c>
    </row>
    <row r="45" spans="1:10" x14ac:dyDescent="0.25">
      <c r="A45">
        <v>44</v>
      </c>
      <c r="B45">
        <v>2016</v>
      </c>
      <c r="D45" t="s">
        <v>2095</v>
      </c>
      <c r="E45" t="s">
        <v>2096</v>
      </c>
      <c r="F45" t="s">
        <v>189</v>
      </c>
      <c r="I45" t="s">
        <v>2097</v>
      </c>
    </row>
    <row r="46" spans="1:10" x14ac:dyDescent="0.25">
      <c r="A46">
        <v>45</v>
      </c>
      <c r="B46">
        <v>2016</v>
      </c>
      <c r="D46" t="s">
        <v>2098</v>
      </c>
      <c r="E46" t="s">
        <v>165</v>
      </c>
      <c r="F46" t="s">
        <v>189</v>
      </c>
      <c r="I46" t="s">
        <v>2099</v>
      </c>
    </row>
    <row r="47" spans="1:10" x14ac:dyDescent="0.25">
      <c r="A47">
        <v>46</v>
      </c>
      <c r="B47">
        <v>2016</v>
      </c>
      <c r="D47" t="s">
        <v>2100</v>
      </c>
      <c r="E47" t="s">
        <v>2101</v>
      </c>
      <c r="F47" t="s">
        <v>189</v>
      </c>
      <c r="I47" t="s">
        <v>2073</v>
      </c>
    </row>
    <row r="48" spans="1:10" x14ac:dyDescent="0.25">
      <c r="A48">
        <v>47</v>
      </c>
      <c r="B48">
        <v>2016</v>
      </c>
      <c r="D48" t="s">
        <v>2102</v>
      </c>
      <c r="E48" t="s">
        <v>2103</v>
      </c>
      <c r="F48" t="s">
        <v>189</v>
      </c>
      <c r="I48" t="s">
        <v>1305</v>
      </c>
    </row>
    <row r="49" spans="1:9" x14ac:dyDescent="0.25">
      <c r="A49">
        <v>48</v>
      </c>
      <c r="B49">
        <v>2016</v>
      </c>
      <c r="D49" t="s">
        <v>2104</v>
      </c>
      <c r="E49" t="s">
        <v>2105</v>
      </c>
      <c r="F49" t="s">
        <v>189</v>
      </c>
      <c r="I49" t="s">
        <v>2106</v>
      </c>
    </row>
    <row r="50" spans="1:9" x14ac:dyDescent="0.25">
      <c r="A50">
        <v>49</v>
      </c>
      <c r="B50">
        <v>2016</v>
      </c>
      <c r="D50" t="s">
        <v>2107</v>
      </c>
      <c r="E50" t="s">
        <v>2057</v>
      </c>
      <c r="F50" t="s">
        <v>189</v>
      </c>
      <c r="I50" t="s">
        <v>2108</v>
      </c>
    </row>
    <row r="51" spans="1:9" x14ac:dyDescent="0.25">
      <c r="A51">
        <v>50</v>
      </c>
      <c r="B51">
        <v>2016</v>
      </c>
      <c r="D51" t="s">
        <v>2109</v>
      </c>
      <c r="E51" t="s">
        <v>2110</v>
      </c>
      <c r="F51" t="s">
        <v>189</v>
      </c>
      <c r="I51" t="s">
        <v>2111</v>
      </c>
    </row>
    <row r="52" spans="1:9" x14ac:dyDescent="0.25">
      <c r="A52">
        <v>51</v>
      </c>
      <c r="B52">
        <v>2016</v>
      </c>
      <c r="D52" t="s">
        <v>2112</v>
      </c>
      <c r="E52" t="s">
        <v>2113</v>
      </c>
      <c r="F52" t="s">
        <v>189</v>
      </c>
      <c r="I52" t="s">
        <v>2114</v>
      </c>
    </row>
    <row r="53" spans="1:9" x14ac:dyDescent="0.25">
      <c r="A53">
        <v>52</v>
      </c>
      <c r="B53">
        <v>2016</v>
      </c>
      <c r="D53" t="s">
        <v>2115</v>
      </c>
      <c r="E53" t="s">
        <v>2116</v>
      </c>
      <c r="F53" t="s">
        <v>189</v>
      </c>
      <c r="I53" t="s">
        <v>2117</v>
      </c>
    </row>
    <row r="54" spans="1:9" x14ac:dyDescent="0.25">
      <c r="A54">
        <v>53</v>
      </c>
      <c r="B54">
        <v>2016</v>
      </c>
      <c r="D54" t="s">
        <v>2118</v>
      </c>
      <c r="E54" t="s">
        <v>2119</v>
      </c>
      <c r="F54" t="s">
        <v>189</v>
      </c>
      <c r="I54" t="s">
        <v>2120</v>
      </c>
    </row>
    <row r="55" spans="1:9" x14ac:dyDescent="0.25">
      <c r="A55">
        <v>54</v>
      </c>
      <c r="B55">
        <v>2016</v>
      </c>
      <c r="D55" t="s">
        <v>2121</v>
      </c>
      <c r="E55" t="s">
        <v>2122</v>
      </c>
      <c r="F55" t="s">
        <v>189</v>
      </c>
      <c r="I55" t="s">
        <v>2123</v>
      </c>
    </row>
    <row r="56" spans="1:9" x14ac:dyDescent="0.25">
      <c r="A56">
        <v>55</v>
      </c>
      <c r="B56">
        <v>2016</v>
      </c>
      <c r="D56" t="s">
        <v>2124</v>
      </c>
      <c r="E56" t="s">
        <v>2125</v>
      </c>
      <c r="F56" t="s">
        <v>189</v>
      </c>
      <c r="I56" t="s">
        <v>2126</v>
      </c>
    </row>
    <row r="57" spans="1:9" x14ac:dyDescent="0.25">
      <c r="A57">
        <v>56</v>
      </c>
      <c r="B57">
        <v>2016</v>
      </c>
      <c r="D57" t="s">
        <v>2127</v>
      </c>
      <c r="E57" t="s">
        <v>2128</v>
      </c>
      <c r="F57" t="s">
        <v>189</v>
      </c>
      <c r="I57" t="s">
        <v>2129</v>
      </c>
    </row>
    <row r="58" spans="1:9" x14ac:dyDescent="0.25">
      <c r="A58">
        <v>57</v>
      </c>
      <c r="B58">
        <v>2016</v>
      </c>
      <c r="D58" t="s">
        <v>2130</v>
      </c>
      <c r="E58" t="s">
        <v>2131</v>
      </c>
      <c r="F58" t="s">
        <v>189</v>
      </c>
      <c r="I58" t="s">
        <v>2132</v>
      </c>
    </row>
    <row r="59" spans="1:9" x14ac:dyDescent="0.25">
      <c r="A59">
        <v>58</v>
      </c>
      <c r="B59">
        <v>2016</v>
      </c>
      <c r="D59" t="s">
        <v>2133</v>
      </c>
      <c r="E59" t="s">
        <v>2134</v>
      </c>
      <c r="F59" t="s">
        <v>189</v>
      </c>
      <c r="I59" t="s">
        <v>2135</v>
      </c>
    </row>
    <row r="60" spans="1:9" x14ac:dyDescent="0.25">
      <c r="A60">
        <v>59</v>
      </c>
      <c r="B60">
        <v>2016</v>
      </c>
      <c r="D60" t="s">
        <v>2136</v>
      </c>
      <c r="E60" t="s">
        <v>2137</v>
      </c>
      <c r="F60" t="s">
        <v>189</v>
      </c>
      <c r="I60" t="s">
        <v>2138</v>
      </c>
    </row>
    <row r="61" spans="1:9" x14ac:dyDescent="0.25">
      <c r="A61">
        <v>60</v>
      </c>
      <c r="B61">
        <v>2016</v>
      </c>
      <c r="D61" t="s">
        <v>2139</v>
      </c>
      <c r="E61" t="s">
        <v>2125</v>
      </c>
      <c r="F61" t="s">
        <v>189</v>
      </c>
      <c r="I61" t="s">
        <v>2140</v>
      </c>
    </row>
    <row r="62" spans="1:9" x14ac:dyDescent="0.25">
      <c r="A62">
        <v>61</v>
      </c>
      <c r="B62">
        <v>2016</v>
      </c>
      <c r="D62" t="s">
        <v>2141</v>
      </c>
      <c r="E62" t="s">
        <v>2142</v>
      </c>
      <c r="F62" t="s">
        <v>189</v>
      </c>
      <c r="I62" t="s">
        <v>2143</v>
      </c>
    </row>
    <row r="63" spans="1:9" x14ac:dyDescent="0.25">
      <c r="A63">
        <v>62</v>
      </c>
      <c r="B63">
        <v>2016</v>
      </c>
      <c r="D63" t="s">
        <v>2144</v>
      </c>
      <c r="E63" t="s">
        <v>2145</v>
      </c>
      <c r="F63" t="s">
        <v>189</v>
      </c>
      <c r="I63" t="s">
        <v>2146</v>
      </c>
    </row>
    <row r="64" spans="1:9" x14ac:dyDescent="0.25">
      <c r="A64">
        <v>63</v>
      </c>
      <c r="B64">
        <v>2016</v>
      </c>
      <c r="D64" t="s">
        <v>2147</v>
      </c>
      <c r="E64" t="s">
        <v>2125</v>
      </c>
      <c r="F64" t="s">
        <v>189</v>
      </c>
      <c r="I64" t="s">
        <v>2148</v>
      </c>
    </row>
    <row r="65" spans="1:9" x14ac:dyDescent="0.25">
      <c r="A65">
        <v>64</v>
      </c>
      <c r="B65">
        <v>2016</v>
      </c>
      <c r="D65" t="s">
        <v>2149</v>
      </c>
      <c r="E65" t="s">
        <v>2150</v>
      </c>
      <c r="F65" t="s">
        <v>189</v>
      </c>
      <c r="I65" t="s">
        <v>2151</v>
      </c>
    </row>
    <row r="66" spans="1:9" x14ac:dyDescent="0.25">
      <c r="A66">
        <v>65</v>
      </c>
      <c r="B66">
        <v>2016</v>
      </c>
      <c r="D66" t="s">
        <v>2152</v>
      </c>
      <c r="E66" t="s">
        <v>2153</v>
      </c>
      <c r="F66" t="s">
        <v>189</v>
      </c>
      <c r="I66" t="s">
        <v>2154</v>
      </c>
    </row>
    <row r="67" spans="1:9" x14ac:dyDescent="0.25">
      <c r="A67">
        <v>66</v>
      </c>
      <c r="B67">
        <v>2016</v>
      </c>
      <c r="D67" t="s">
        <v>2155</v>
      </c>
      <c r="E67" t="s">
        <v>2156</v>
      </c>
      <c r="F67" t="s">
        <v>189</v>
      </c>
      <c r="I67" t="s">
        <v>2157</v>
      </c>
    </row>
    <row r="68" spans="1:9" x14ac:dyDescent="0.25">
      <c r="A68">
        <v>67</v>
      </c>
      <c r="B68">
        <v>2016</v>
      </c>
      <c r="D68" t="s">
        <v>2158</v>
      </c>
      <c r="E68" t="s">
        <v>2159</v>
      </c>
      <c r="F68" t="s">
        <v>189</v>
      </c>
      <c r="I68" t="s">
        <v>2160</v>
      </c>
    </row>
    <row r="69" spans="1:9" x14ac:dyDescent="0.25">
      <c r="A69">
        <v>68</v>
      </c>
      <c r="B69">
        <v>2016</v>
      </c>
      <c r="D69" t="s">
        <v>2161</v>
      </c>
      <c r="E69" t="s">
        <v>2162</v>
      </c>
      <c r="F69" t="s">
        <v>189</v>
      </c>
      <c r="I69" t="s">
        <v>2163</v>
      </c>
    </row>
    <row r="70" spans="1:9" x14ac:dyDescent="0.25">
      <c r="A70">
        <v>69</v>
      </c>
      <c r="B70">
        <v>2016</v>
      </c>
      <c r="D70" t="s">
        <v>2164</v>
      </c>
      <c r="E70" t="s">
        <v>2165</v>
      </c>
      <c r="F70" t="s">
        <v>189</v>
      </c>
      <c r="I70" t="s">
        <v>2166</v>
      </c>
    </row>
    <row r="71" spans="1:9" x14ac:dyDescent="0.25">
      <c r="A71">
        <v>70</v>
      </c>
      <c r="B71">
        <v>2016</v>
      </c>
      <c r="D71" t="s">
        <v>2167</v>
      </c>
      <c r="E71" t="s">
        <v>2168</v>
      </c>
      <c r="F71" t="s">
        <v>189</v>
      </c>
      <c r="I71" t="s">
        <v>2169</v>
      </c>
    </row>
    <row r="72" spans="1:9" x14ac:dyDescent="0.25">
      <c r="A72">
        <v>71</v>
      </c>
      <c r="B72">
        <v>2016</v>
      </c>
      <c r="D72" t="s">
        <v>2170</v>
      </c>
      <c r="E72" t="s">
        <v>2171</v>
      </c>
      <c r="F72" t="s">
        <v>189</v>
      </c>
      <c r="I72" t="s">
        <v>2172</v>
      </c>
    </row>
    <row r="73" spans="1:9" x14ac:dyDescent="0.25">
      <c r="A73">
        <v>72</v>
      </c>
      <c r="B73">
        <v>2016</v>
      </c>
      <c r="D73" t="s">
        <v>2173</v>
      </c>
      <c r="E73" t="s">
        <v>2165</v>
      </c>
      <c r="F73" t="s">
        <v>189</v>
      </c>
      <c r="I73" t="s">
        <v>2174</v>
      </c>
    </row>
    <row r="74" spans="1:9" x14ac:dyDescent="0.25">
      <c r="A74">
        <v>73</v>
      </c>
    </row>
    <row r="75" spans="1:9" x14ac:dyDescent="0.25">
      <c r="A75">
        <v>74</v>
      </c>
      <c r="D75" t="s">
        <v>2175</v>
      </c>
      <c r="E75" t="s">
        <v>2176</v>
      </c>
      <c r="F75" t="s">
        <v>189</v>
      </c>
      <c r="I75" t="s">
        <v>2177</v>
      </c>
    </row>
    <row r="76" spans="1:9" x14ac:dyDescent="0.25">
      <c r="A76">
        <v>75</v>
      </c>
      <c r="D76" t="s">
        <v>2178</v>
      </c>
      <c r="E76" t="s">
        <v>2179</v>
      </c>
      <c r="F76" t="s">
        <v>189</v>
      </c>
      <c r="I76" t="s">
        <v>2180</v>
      </c>
    </row>
    <row r="77" spans="1:9" x14ac:dyDescent="0.25">
      <c r="A77">
        <v>76</v>
      </c>
      <c r="D77" t="s">
        <v>2181</v>
      </c>
      <c r="E77" t="s">
        <v>2182</v>
      </c>
      <c r="F77" t="s">
        <v>189</v>
      </c>
      <c r="I77" t="s">
        <v>2183</v>
      </c>
    </row>
    <row r="78" spans="1:9" x14ac:dyDescent="0.25">
      <c r="A78">
        <v>77</v>
      </c>
      <c r="D78" t="s">
        <v>2184</v>
      </c>
      <c r="E78" t="s">
        <v>2185</v>
      </c>
      <c r="F78" t="s">
        <v>189</v>
      </c>
      <c r="I78" t="s">
        <v>2186</v>
      </c>
    </row>
    <row r="79" spans="1:9" x14ac:dyDescent="0.25">
      <c r="A79">
        <v>78</v>
      </c>
      <c r="D79" t="s">
        <v>2187</v>
      </c>
      <c r="E79" t="s">
        <v>2188</v>
      </c>
      <c r="F79" t="s">
        <v>189</v>
      </c>
      <c r="I79" t="s">
        <v>2189</v>
      </c>
    </row>
    <row r="80" spans="1:9" x14ac:dyDescent="0.25">
      <c r="A80">
        <v>79</v>
      </c>
      <c r="D80" t="s">
        <v>2190</v>
      </c>
      <c r="E80" t="s">
        <v>1783</v>
      </c>
      <c r="F80" t="s">
        <v>189</v>
      </c>
      <c r="I80" t="s">
        <v>2191</v>
      </c>
    </row>
    <row r="81" spans="1:9" ht="90" x14ac:dyDescent="0.25">
      <c r="A81">
        <v>80</v>
      </c>
      <c r="D81" s="11" t="s">
        <v>2192</v>
      </c>
      <c r="E81" t="s">
        <v>1783</v>
      </c>
      <c r="F81" t="s">
        <v>189</v>
      </c>
      <c r="I81" s="11" t="s">
        <v>2193</v>
      </c>
    </row>
    <row r="82" spans="1:9" x14ac:dyDescent="0.25">
      <c r="A82">
        <v>81</v>
      </c>
      <c r="D82" t="s">
        <v>2194</v>
      </c>
      <c r="E82" t="s">
        <v>2195</v>
      </c>
      <c r="F82" t="s">
        <v>189</v>
      </c>
      <c r="I82" t="s">
        <v>2196</v>
      </c>
    </row>
    <row r="83" spans="1:9" x14ac:dyDescent="0.25">
      <c r="A83">
        <v>82</v>
      </c>
      <c r="D83" t="s">
        <v>1952</v>
      </c>
      <c r="E83" t="s">
        <v>2197</v>
      </c>
      <c r="F83" t="s">
        <v>189</v>
      </c>
      <c r="I83" t="s">
        <v>1954</v>
      </c>
    </row>
    <row r="84" spans="1:9" x14ac:dyDescent="0.25">
      <c r="A84">
        <v>83</v>
      </c>
      <c r="D84" t="s">
        <v>2198</v>
      </c>
      <c r="E84" t="s">
        <v>2199</v>
      </c>
      <c r="F84" t="s">
        <v>189</v>
      </c>
      <c r="I84" t="s">
        <v>2200</v>
      </c>
    </row>
    <row r="85" spans="1:9" x14ac:dyDescent="0.25">
      <c r="A85">
        <v>84</v>
      </c>
      <c r="D85" t="s">
        <v>2201</v>
      </c>
      <c r="E85" t="s">
        <v>2202</v>
      </c>
      <c r="F85" t="s">
        <v>189</v>
      </c>
      <c r="I85" t="s">
        <v>1305</v>
      </c>
    </row>
    <row r="86" spans="1:9" x14ac:dyDescent="0.25">
      <c r="A86">
        <v>85</v>
      </c>
      <c r="D86" t="s">
        <v>2203</v>
      </c>
      <c r="E86" t="s">
        <v>2204</v>
      </c>
      <c r="F86" t="s">
        <v>189</v>
      </c>
      <c r="I86" t="s">
        <v>2073</v>
      </c>
    </row>
    <row r="87" spans="1:9" x14ac:dyDescent="0.25">
      <c r="A87">
        <v>86</v>
      </c>
      <c r="D87" t="s">
        <v>2205</v>
      </c>
      <c r="E87" t="s">
        <v>2206</v>
      </c>
      <c r="F87" t="s">
        <v>189</v>
      </c>
      <c r="I87" t="s">
        <v>2207</v>
      </c>
    </row>
    <row r="88" spans="1:9" x14ac:dyDescent="0.25">
      <c r="A88">
        <v>87</v>
      </c>
      <c r="D88" t="s">
        <v>2208</v>
      </c>
      <c r="E88" t="s">
        <v>2209</v>
      </c>
      <c r="F88" t="s">
        <v>189</v>
      </c>
      <c r="I88" t="s">
        <v>2210</v>
      </c>
    </row>
    <row r="89" spans="1:9" x14ac:dyDescent="0.25">
      <c r="A89">
        <v>88</v>
      </c>
      <c r="D89" t="s">
        <v>2211</v>
      </c>
      <c r="E89" t="s">
        <v>2212</v>
      </c>
      <c r="F89" t="s">
        <v>189</v>
      </c>
      <c r="I89" t="s">
        <v>2213</v>
      </c>
    </row>
    <row r="90" spans="1:9" x14ac:dyDescent="0.25">
      <c r="A90">
        <v>89</v>
      </c>
      <c r="D90" t="s">
        <v>2214</v>
      </c>
      <c r="E90" t="s">
        <v>2215</v>
      </c>
      <c r="F90" t="s">
        <v>189</v>
      </c>
      <c r="I90" t="s">
        <v>2216</v>
      </c>
    </row>
    <row r="91" spans="1:9" x14ac:dyDescent="0.25">
      <c r="A91">
        <v>90</v>
      </c>
      <c r="D91" t="s">
        <v>2217</v>
      </c>
      <c r="E91" t="s">
        <v>2218</v>
      </c>
      <c r="F91" t="s">
        <v>189</v>
      </c>
      <c r="I91" t="s">
        <v>2219</v>
      </c>
    </row>
    <row r="92" spans="1:9" x14ac:dyDescent="0.25">
      <c r="A92">
        <v>91</v>
      </c>
      <c r="D92" t="s">
        <v>2220</v>
      </c>
      <c r="E92" t="s">
        <v>2221</v>
      </c>
      <c r="F92" t="s">
        <v>189</v>
      </c>
      <c r="I92" t="s">
        <v>2222</v>
      </c>
    </row>
    <row r="93" spans="1:9" x14ac:dyDescent="0.25">
      <c r="A93">
        <v>92</v>
      </c>
      <c r="D93" t="s">
        <v>2223</v>
      </c>
      <c r="E93" t="s">
        <v>2224</v>
      </c>
      <c r="F93" t="s">
        <v>189</v>
      </c>
      <c r="I93" t="s">
        <v>2225</v>
      </c>
    </row>
    <row r="94" spans="1:9" x14ac:dyDescent="0.25">
      <c r="A94">
        <v>93</v>
      </c>
      <c r="D94" t="s">
        <v>2226</v>
      </c>
      <c r="E94" t="s">
        <v>2159</v>
      </c>
      <c r="F94" t="s">
        <v>189</v>
      </c>
      <c r="I94" t="s">
        <v>2227</v>
      </c>
    </row>
    <row r="95" spans="1:9" x14ac:dyDescent="0.25">
      <c r="A95">
        <v>94</v>
      </c>
      <c r="D95" t="s">
        <v>2228</v>
      </c>
      <c r="E95" t="s">
        <v>2229</v>
      </c>
      <c r="F95" t="s">
        <v>189</v>
      </c>
      <c r="I95" t="s">
        <v>2230</v>
      </c>
    </row>
    <row r="96" spans="1:9" x14ac:dyDescent="0.25">
      <c r="A96">
        <v>95</v>
      </c>
      <c r="D96" t="s">
        <v>2231</v>
      </c>
      <c r="E96" t="s">
        <v>2232</v>
      </c>
      <c r="F96" t="s">
        <v>189</v>
      </c>
      <c r="I96" t="s">
        <v>2233</v>
      </c>
    </row>
    <row r="97" spans="1:9" x14ac:dyDescent="0.25">
      <c r="A97">
        <v>96</v>
      </c>
      <c r="D97" t="s">
        <v>2234</v>
      </c>
      <c r="E97" t="s">
        <v>2235</v>
      </c>
      <c r="F97" t="s">
        <v>189</v>
      </c>
      <c r="I97" t="s">
        <v>2236</v>
      </c>
    </row>
    <row r="98" spans="1:9" x14ac:dyDescent="0.25">
      <c r="A98">
        <v>97</v>
      </c>
      <c r="D98" t="s">
        <v>2237</v>
      </c>
      <c r="E98" t="s">
        <v>2159</v>
      </c>
      <c r="F98" t="s">
        <v>189</v>
      </c>
      <c r="I98" t="s">
        <v>2238</v>
      </c>
    </row>
    <row r="99" spans="1:9" x14ac:dyDescent="0.25">
      <c r="A99">
        <v>98</v>
      </c>
      <c r="D99" t="s">
        <v>2239</v>
      </c>
      <c r="E99" t="s">
        <v>2240</v>
      </c>
      <c r="F99" t="s">
        <v>189</v>
      </c>
      <c r="I99" t="s">
        <v>2241</v>
      </c>
    </row>
    <row r="100" spans="1:9" x14ac:dyDescent="0.25">
      <c r="A100">
        <v>99</v>
      </c>
      <c r="D100" t="s">
        <v>2242</v>
      </c>
      <c r="E100" t="s">
        <v>2243</v>
      </c>
      <c r="F100" t="s">
        <v>189</v>
      </c>
      <c r="I100" t="s">
        <v>1305</v>
      </c>
    </row>
    <row r="101" spans="1:9" x14ac:dyDescent="0.25">
      <c r="A101">
        <v>100</v>
      </c>
      <c r="D101" t="s">
        <v>2244</v>
      </c>
      <c r="E101" t="s">
        <v>2245</v>
      </c>
      <c r="F101" t="s">
        <v>189</v>
      </c>
      <c r="I101" t="s">
        <v>1305</v>
      </c>
    </row>
    <row r="102" spans="1:9" x14ac:dyDescent="0.25">
      <c r="A102">
        <v>101</v>
      </c>
      <c r="D102" t="s">
        <v>2246</v>
      </c>
      <c r="E102" t="s">
        <v>2247</v>
      </c>
      <c r="F102" t="s">
        <v>189</v>
      </c>
      <c r="I102" t="s">
        <v>1305</v>
      </c>
    </row>
    <row r="103" spans="1:9" x14ac:dyDescent="0.25">
      <c r="A103">
        <v>102</v>
      </c>
      <c r="F103" t="s">
        <v>189</v>
      </c>
    </row>
    <row r="104" spans="1:9" x14ac:dyDescent="0.25">
      <c r="A104">
        <v>103</v>
      </c>
      <c r="D104" t="s">
        <v>2248</v>
      </c>
      <c r="E104" t="s">
        <v>2249</v>
      </c>
      <c r="F104" t="s">
        <v>189</v>
      </c>
      <c r="I104" t="s">
        <v>2250</v>
      </c>
    </row>
    <row r="105" spans="1:9" x14ac:dyDescent="0.25">
      <c r="A105">
        <v>104</v>
      </c>
      <c r="D105" t="s">
        <v>2251</v>
      </c>
      <c r="E105" t="s">
        <v>2252</v>
      </c>
      <c r="F105" t="s">
        <v>189</v>
      </c>
      <c r="I105" t="s">
        <v>2253</v>
      </c>
    </row>
    <row r="106" spans="1:9" x14ac:dyDescent="0.25">
      <c r="A106">
        <v>105</v>
      </c>
      <c r="D106" t="s">
        <v>2254</v>
      </c>
      <c r="E106" t="s">
        <v>2255</v>
      </c>
      <c r="F106" t="s">
        <v>189</v>
      </c>
      <c r="I106" t="s">
        <v>2256</v>
      </c>
    </row>
    <row r="107" spans="1:9" x14ac:dyDescent="0.25">
      <c r="A107">
        <v>106</v>
      </c>
      <c r="D107" t="s">
        <v>2257</v>
      </c>
      <c r="E107" t="s">
        <v>2258</v>
      </c>
      <c r="F107" t="s">
        <v>189</v>
      </c>
      <c r="I107" t="s">
        <v>2259</v>
      </c>
    </row>
    <row r="108" spans="1:9" x14ac:dyDescent="0.25">
      <c r="A108">
        <v>107</v>
      </c>
      <c r="D108" t="s">
        <v>2260</v>
      </c>
      <c r="E108" t="s">
        <v>2258</v>
      </c>
      <c r="F108" t="s">
        <v>189</v>
      </c>
      <c r="I108" t="s">
        <v>2261</v>
      </c>
    </row>
    <row r="109" spans="1:9" x14ac:dyDescent="0.25">
      <c r="A109">
        <v>108</v>
      </c>
      <c r="D109" t="s">
        <v>2262</v>
      </c>
      <c r="E109" t="s">
        <v>2263</v>
      </c>
      <c r="F109" t="s">
        <v>189</v>
      </c>
      <c r="I109" t="s">
        <v>2264</v>
      </c>
    </row>
    <row r="110" spans="1:9" x14ac:dyDescent="0.25">
      <c r="A110">
        <v>109</v>
      </c>
      <c r="D110" t="s">
        <v>2265</v>
      </c>
      <c r="E110" t="s">
        <v>2266</v>
      </c>
      <c r="F110" t="s">
        <v>189</v>
      </c>
      <c r="I110" t="s">
        <v>2267</v>
      </c>
    </row>
    <row r="111" spans="1:9" x14ac:dyDescent="0.25">
      <c r="A111">
        <v>110</v>
      </c>
      <c r="D111" t="s">
        <v>2268</v>
      </c>
      <c r="E111" t="s">
        <v>465</v>
      </c>
      <c r="F111" t="s">
        <v>189</v>
      </c>
      <c r="I111" t="s">
        <v>2269</v>
      </c>
    </row>
    <row r="112" spans="1:9" x14ac:dyDescent="0.25">
      <c r="A112">
        <v>111</v>
      </c>
      <c r="D112" t="s">
        <v>2270</v>
      </c>
      <c r="E112" t="s">
        <v>2271</v>
      </c>
      <c r="F112" t="s">
        <v>189</v>
      </c>
      <c r="I112" t="s">
        <v>2272</v>
      </c>
    </row>
    <row r="113" spans="1:9" x14ac:dyDescent="0.25">
      <c r="A113">
        <v>112</v>
      </c>
      <c r="E113" t="s">
        <v>2273</v>
      </c>
      <c r="F113" t="s">
        <v>189</v>
      </c>
      <c r="I113" t="s">
        <v>2274</v>
      </c>
    </row>
    <row r="114" spans="1:9" x14ac:dyDescent="0.25">
      <c r="A114">
        <v>113</v>
      </c>
      <c r="D114" t="s">
        <v>2275</v>
      </c>
      <c r="E114" t="s">
        <v>2276</v>
      </c>
      <c r="F114" t="s">
        <v>189</v>
      </c>
      <c r="I114" t="s">
        <v>2277</v>
      </c>
    </row>
    <row r="115" spans="1:9" x14ac:dyDescent="0.25">
      <c r="A115">
        <v>114</v>
      </c>
      <c r="D115" t="s">
        <v>2278</v>
      </c>
      <c r="E115" t="s">
        <v>465</v>
      </c>
      <c r="F115" t="s">
        <v>189</v>
      </c>
      <c r="I115" t="s">
        <v>2279</v>
      </c>
    </row>
    <row r="116" spans="1:9" x14ac:dyDescent="0.25">
      <c r="A116">
        <v>115</v>
      </c>
      <c r="D116" t="s">
        <v>2280</v>
      </c>
      <c r="E116" t="s">
        <v>2281</v>
      </c>
      <c r="F116" t="s">
        <v>189</v>
      </c>
      <c r="I116" t="s">
        <v>2282</v>
      </c>
    </row>
    <row r="117" spans="1:9" x14ac:dyDescent="0.25">
      <c r="A117">
        <v>116</v>
      </c>
      <c r="D117" t="s">
        <v>2283</v>
      </c>
      <c r="E117" t="s">
        <v>1663</v>
      </c>
      <c r="F117" t="s">
        <v>189</v>
      </c>
      <c r="I117" t="s">
        <v>2284</v>
      </c>
    </row>
    <row r="118" spans="1:9" x14ac:dyDescent="0.25">
      <c r="A118">
        <v>117</v>
      </c>
      <c r="D118" t="s">
        <v>2285</v>
      </c>
      <c r="E118" t="s">
        <v>2286</v>
      </c>
      <c r="F118" t="s">
        <v>189</v>
      </c>
      <c r="I118" t="s">
        <v>2287</v>
      </c>
    </row>
    <row r="119" spans="1:9" x14ac:dyDescent="0.25">
      <c r="A119">
        <v>118</v>
      </c>
      <c r="D119" t="s">
        <v>2288</v>
      </c>
      <c r="E119" t="s">
        <v>2289</v>
      </c>
      <c r="F119" t="s">
        <v>189</v>
      </c>
      <c r="I119" t="s">
        <v>1305</v>
      </c>
    </row>
    <row r="120" spans="1:9" x14ac:dyDescent="0.25">
      <c r="A120">
        <v>119</v>
      </c>
      <c r="D120" t="s">
        <v>2290</v>
      </c>
      <c r="E120" t="s">
        <v>2291</v>
      </c>
      <c r="F120" t="s">
        <v>189</v>
      </c>
      <c r="I120" t="s">
        <v>2073</v>
      </c>
    </row>
    <row r="121" spans="1:9" x14ac:dyDescent="0.25">
      <c r="A121">
        <v>120</v>
      </c>
      <c r="D121" t="s">
        <v>2292</v>
      </c>
      <c r="E121" t="s">
        <v>2293</v>
      </c>
      <c r="F121" t="s">
        <v>189</v>
      </c>
      <c r="I121" t="s">
        <v>2294</v>
      </c>
    </row>
    <row r="122" spans="1:9" x14ac:dyDescent="0.25">
      <c r="A122">
        <v>121</v>
      </c>
      <c r="D122" t="s">
        <v>2295</v>
      </c>
      <c r="E122" t="s">
        <v>2296</v>
      </c>
      <c r="F122" t="s">
        <v>189</v>
      </c>
      <c r="I122" t="s">
        <v>2297</v>
      </c>
    </row>
    <row r="123" spans="1:9" x14ac:dyDescent="0.25">
      <c r="A123">
        <v>122</v>
      </c>
      <c r="D123" t="s">
        <v>2298</v>
      </c>
      <c r="E123" t="s">
        <v>2299</v>
      </c>
      <c r="F123" t="s">
        <v>189</v>
      </c>
      <c r="I123" t="s">
        <v>2300</v>
      </c>
    </row>
    <row r="124" spans="1:9" x14ac:dyDescent="0.25">
      <c r="A124">
        <v>123</v>
      </c>
      <c r="D124" t="s">
        <v>2301</v>
      </c>
      <c r="E124" t="s">
        <v>137</v>
      </c>
      <c r="F124" t="s">
        <v>189</v>
      </c>
      <c r="I124" t="s">
        <v>2302</v>
      </c>
    </row>
    <row r="125" spans="1:9" x14ac:dyDescent="0.25">
      <c r="A125">
        <v>124</v>
      </c>
      <c r="D125" t="s">
        <v>2303</v>
      </c>
      <c r="E125" t="s">
        <v>2304</v>
      </c>
      <c r="F125" t="s">
        <v>189</v>
      </c>
      <c r="I125" t="s">
        <v>1305</v>
      </c>
    </row>
    <row r="126" spans="1:9" x14ac:dyDescent="0.25">
      <c r="A126">
        <v>125</v>
      </c>
      <c r="D126" t="s">
        <v>2305</v>
      </c>
      <c r="E126" t="s">
        <v>2306</v>
      </c>
      <c r="F126" t="s">
        <v>189</v>
      </c>
      <c r="I126" t="s">
        <v>1305</v>
      </c>
    </row>
    <row r="127" spans="1:9" x14ac:dyDescent="0.25">
      <c r="A127">
        <v>126</v>
      </c>
      <c r="D127" t="s">
        <v>2307</v>
      </c>
      <c r="E127" t="s">
        <v>2308</v>
      </c>
      <c r="F127" t="s">
        <v>189</v>
      </c>
      <c r="I127" t="s">
        <v>2309</v>
      </c>
    </row>
    <row r="128" spans="1:9" x14ac:dyDescent="0.25">
      <c r="A128">
        <v>127</v>
      </c>
      <c r="D128" t="s">
        <v>2310</v>
      </c>
      <c r="E128" t="s">
        <v>2311</v>
      </c>
      <c r="F128" t="s">
        <v>189</v>
      </c>
      <c r="I128" t="s">
        <v>2312</v>
      </c>
    </row>
    <row r="129" spans="1:9" x14ac:dyDescent="0.25">
      <c r="A129">
        <v>128</v>
      </c>
      <c r="D129" t="s">
        <v>2313</v>
      </c>
      <c r="E129" t="s">
        <v>2314</v>
      </c>
      <c r="F129" t="s">
        <v>189</v>
      </c>
      <c r="I129" t="s">
        <v>2312</v>
      </c>
    </row>
    <row r="130" spans="1:9" x14ac:dyDescent="0.25">
      <c r="A130">
        <v>129</v>
      </c>
      <c r="D130" t="s">
        <v>2315</v>
      </c>
      <c r="E130" t="s">
        <v>72</v>
      </c>
      <c r="F130" t="s">
        <v>189</v>
      </c>
      <c r="I130" t="s">
        <v>2316</v>
      </c>
    </row>
    <row r="131" spans="1:9" x14ac:dyDescent="0.25">
      <c r="A131">
        <v>130</v>
      </c>
      <c r="D131" t="s">
        <v>2317</v>
      </c>
      <c r="E131" t="s">
        <v>2318</v>
      </c>
      <c r="F131" t="s">
        <v>189</v>
      </c>
      <c r="I131" t="s">
        <v>2319</v>
      </c>
    </row>
    <row r="132" spans="1:9" x14ac:dyDescent="0.25">
      <c r="A132">
        <v>131</v>
      </c>
      <c r="D132" t="s">
        <v>2320</v>
      </c>
      <c r="E132" t="s">
        <v>2321</v>
      </c>
      <c r="F132" t="s">
        <v>189</v>
      </c>
      <c r="I132" t="s">
        <v>2322</v>
      </c>
    </row>
    <row r="133" spans="1:9" x14ac:dyDescent="0.25">
      <c r="A133">
        <v>132</v>
      </c>
      <c r="D133" t="s">
        <v>2323</v>
      </c>
      <c r="E133" t="s">
        <v>2324</v>
      </c>
      <c r="F133" t="s">
        <v>189</v>
      </c>
      <c r="I133" t="s">
        <v>1305</v>
      </c>
    </row>
    <row r="134" spans="1:9" x14ac:dyDescent="0.25">
      <c r="A134">
        <v>133</v>
      </c>
      <c r="D134" t="s">
        <v>2325</v>
      </c>
      <c r="E134" t="s">
        <v>2326</v>
      </c>
      <c r="F134" t="s">
        <v>189</v>
      </c>
      <c r="I134" t="s">
        <v>2327</v>
      </c>
    </row>
    <row r="135" spans="1:9" x14ac:dyDescent="0.25">
      <c r="A135">
        <v>134</v>
      </c>
      <c r="D135" t="s">
        <v>2328</v>
      </c>
      <c r="E135" t="s">
        <v>2329</v>
      </c>
      <c r="F135" t="s">
        <v>189</v>
      </c>
      <c r="I135" t="s">
        <v>2330</v>
      </c>
    </row>
    <row r="136" spans="1:9" x14ac:dyDescent="0.25">
      <c r="A136">
        <v>135</v>
      </c>
      <c r="D136" t="s">
        <v>2331</v>
      </c>
      <c r="E136" t="s">
        <v>2332</v>
      </c>
      <c r="F136" t="s">
        <v>189</v>
      </c>
      <c r="I136" t="s">
        <v>2333</v>
      </c>
    </row>
    <row r="137" spans="1:9" x14ac:dyDescent="0.25">
      <c r="A137">
        <v>136</v>
      </c>
      <c r="D137" t="s">
        <v>2334</v>
      </c>
      <c r="E137" t="s">
        <v>2335</v>
      </c>
      <c r="F137" t="s">
        <v>189</v>
      </c>
      <c r="I137" t="s">
        <v>1305</v>
      </c>
    </row>
    <row r="138" spans="1:9" x14ac:dyDescent="0.25">
      <c r="A138">
        <v>137</v>
      </c>
    </row>
    <row r="139" spans="1:9" ht="120" x14ac:dyDescent="0.25">
      <c r="A139">
        <v>138</v>
      </c>
      <c r="D139" t="s">
        <v>2336</v>
      </c>
      <c r="E139" t="s">
        <v>2337</v>
      </c>
      <c r="F139" t="s">
        <v>189</v>
      </c>
      <c r="I139" s="11" t="s">
        <v>2338</v>
      </c>
    </row>
    <row r="140" spans="1:9" x14ac:dyDescent="0.25">
      <c r="A140">
        <v>139</v>
      </c>
      <c r="D140" t="s">
        <v>2339</v>
      </c>
      <c r="E140" t="s">
        <v>2340</v>
      </c>
      <c r="F140" t="s">
        <v>189</v>
      </c>
      <c r="I140" t="s">
        <v>2341</v>
      </c>
    </row>
    <row r="141" spans="1:9" x14ac:dyDescent="0.25">
      <c r="A141">
        <v>140</v>
      </c>
      <c r="D141" t="s">
        <v>2342</v>
      </c>
      <c r="E141" t="s">
        <v>2343</v>
      </c>
      <c r="F141" t="s">
        <v>189</v>
      </c>
      <c r="I141" t="s">
        <v>2344</v>
      </c>
    </row>
    <row r="142" spans="1:9" x14ac:dyDescent="0.25">
      <c r="A142">
        <v>141</v>
      </c>
      <c r="D142" t="s">
        <v>2345</v>
      </c>
      <c r="E142" t="s">
        <v>2346</v>
      </c>
      <c r="F142" t="s">
        <v>189</v>
      </c>
      <c r="I142" t="s">
        <v>2347</v>
      </c>
    </row>
    <row r="143" spans="1:9" x14ac:dyDescent="0.25">
      <c r="A143">
        <v>142</v>
      </c>
      <c r="D143" t="s">
        <v>2348</v>
      </c>
      <c r="E143" t="s">
        <v>2258</v>
      </c>
      <c r="F143" t="s">
        <v>189</v>
      </c>
      <c r="I143" t="s">
        <v>2349</v>
      </c>
    </row>
    <row r="144" spans="1:9" x14ac:dyDescent="0.25">
      <c r="A144">
        <v>143</v>
      </c>
      <c r="D144" t="s">
        <v>2350</v>
      </c>
      <c r="E144" t="s">
        <v>2351</v>
      </c>
      <c r="F144" t="s">
        <v>189</v>
      </c>
      <c r="I144" t="s">
        <v>2352</v>
      </c>
    </row>
    <row r="145" spans="1:9" x14ac:dyDescent="0.25">
      <c r="A145">
        <v>144</v>
      </c>
      <c r="D145" t="s">
        <v>2353</v>
      </c>
      <c r="E145" t="s">
        <v>2354</v>
      </c>
      <c r="F145" t="s">
        <v>189</v>
      </c>
      <c r="I145" t="s">
        <v>2355</v>
      </c>
    </row>
    <row r="146" spans="1:9" x14ac:dyDescent="0.25">
      <c r="A146">
        <v>145</v>
      </c>
      <c r="D146" t="s">
        <v>2356</v>
      </c>
      <c r="E146" t="s">
        <v>2357</v>
      </c>
      <c r="F146" t="s">
        <v>189</v>
      </c>
      <c r="I146" t="s">
        <v>2073</v>
      </c>
    </row>
    <row r="147" spans="1:9" x14ac:dyDescent="0.25">
      <c r="A147">
        <v>146</v>
      </c>
      <c r="D147" t="s">
        <v>2358</v>
      </c>
      <c r="E147" t="s">
        <v>2289</v>
      </c>
      <c r="F147" t="s">
        <v>189</v>
      </c>
      <c r="I147" t="s">
        <v>2359</v>
      </c>
    </row>
    <row r="148" spans="1:9" x14ac:dyDescent="0.25">
      <c r="A148">
        <v>147</v>
      </c>
      <c r="D148" t="s">
        <v>2360</v>
      </c>
      <c r="E148" t="s">
        <v>2361</v>
      </c>
      <c r="F148" t="s">
        <v>189</v>
      </c>
      <c r="I148" t="s">
        <v>2362</v>
      </c>
    </row>
    <row r="149" spans="1:9" x14ac:dyDescent="0.25">
      <c r="A149">
        <v>148</v>
      </c>
      <c r="D149" t="s">
        <v>2363</v>
      </c>
      <c r="E149" t="s">
        <v>2364</v>
      </c>
      <c r="F149" t="s">
        <v>189</v>
      </c>
      <c r="I149" t="s">
        <v>2365</v>
      </c>
    </row>
    <row r="150" spans="1:9" x14ac:dyDescent="0.25">
      <c r="A150">
        <v>149</v>
      </c>
      <c r="D150" t="s">
        <v>2366</v>
      </c>
      <c r="E150" t="s">
        <v>2057</v>
      </c>
      <c r="F150" t="s">
        <v>189</v>
      </c>
      <c r="I150" t="s">
        <v>2367</v>
      </c>
    </row>
    <row r="151" spans="1:9" x14ac:dyDescent="0.25">
      <c r="A151">
        <v>150</v>
      </c>
      <c r="D151" t="s">
        <v>2368</v>
      </c>
      <c r="E151" t="s">
        <v>2369</v>
      </c>
      <c r="F151" t="s">
        <v>189</v>
      </c>
      <c r="I151" t="s">
        <v>2370</v>
      </c>
    </row>
    <row r="152" spans="1:9" x14ac:dyDescent="0.25">
      <c r="A152">
        <v>151</v>
      </c>
      <c r="D152" t="s">
        <v>2371</v>
      </c>
      <c r="E152" t="s">
        <v>2372</v>
      </c>
      <c r="F152" t="s">
        <v>189</v>
      </c>
      <c r="I152" t="s">
        <v>2373</v>
      </c>
    </row>
    <row r="153" spans="1:9" ht="75" x14ac:dyDescent="0.25">
      <c r="A153">
        <v>152</v>
      </c>
      <c r="D153" s="11" t="s">
        <v>2374</v>
      </c>
      <c r="E153" t="s">
        <v>2375</v>
      </c>
      <c r="F153" t="s">
        <v>189</v>
      </c>
      <c r="I153" t="s">
        <v>1305</v>
      </c>
    </row>
    <row r="154" spans="1:9" x14ac:dyDescent="0.25">
      <c r="A154">
        <v>153</v>
      </c>
      <c r="D154" t="s">
        <v>2376</v>
      </c>
      <c r="E154" t="s">
        <v>2377</v>
      </c>
      <c r="F154" t="s">
        <v>189</v>
      </c>
      <c r="I154" t="s">
        <v>1305</v>
      </c>
    </row>
    <row r="155" spans="1:9" x14ac:dyDescent="0.25">
      <c r="A155">
        <v>154</v>
      </c>
      <c r="D155" t="s">
        <v>2378</v>
      </c>
      <c r="E155" t="s">
        <v>2379</v>
      </c>
      <c r="F155" t="s">
        <v>189</v>
      </c>
      <c r="I155" t="s">
        <v>2380</v>
      </c>
    </row>
    <row r="156" spans="1:9" x14ac:dyDescent="0.25">
      <c r="A156">
        <v>155</v>
      </c>
      <c r="D156" t="s">
        <v>2381</v>
      </c>
      <c r="E156" t="s">
        <v>2382</v>
      </c>
      <c r="F156" t="s">
        <v>189</v>
      </c>
      <c r="I156" t="s">
        <v>2383</v>
      </c>
    </row>
    <row r="157" spans="1:9" x14ac:dyDescent="0.25">
      <c r="A157">
        <v>156</v>
      </c>
      <c r="D157" t="s">
        <v>2384</v>
      </c>
      <c r="E157" t="s">
        <v>2385</v>
      </c>
      <c r="F157" t="s">
        <v>189</v>
      </c>
      <c r="I157" t="s">
        <v>2386</v>
      </c>
    </row>
    <row r="158" spans="1:9" x14ac:dyDescent="0.25">
      <c r="A158">
        <v>157</v>
      </c>
      <c r="D158" t="s">
        <v>2387</v>
      </c>
      <c r="E158" t="s">
        <v>2388</v>
      </c>
      <c r="F158" t="s">
        <v>189</v>
      </c>
      <c r="I158" t="s">
        <v>2389</v>
      </c>
    </row>
    <row r="159" spans="1:9" x14ac:dyDescent="0.25">
      <c r="A159">
        <v>158</v>
      </c>
      <c r="D159" t="s">
        <v>2390</v>
      </c>
      <c r="E159" t="s">
        <v>2391</v>
      </c>
      <c r="F159" t="s">
        <v>189</v>
      </c>
      <c r="I159" t="s">
        <v>2392</v>
      </c>
    </row>
    <row r="160" spans="1:9" x14ac:dyDescent="0.25">
      <c r="A160">
        <v>159</v>
      </c>
      <c r="D160" t="s">
        <v>2393</v>
      </c>
      <c r="E160" t="s">
        <v>2394</v>
      </c>
      <c r="F160" t="s">
        <v>189</v>
      </c>
    </row>
    <row r="161" spans="1:9" x14ac:dyDescent="0.25">
      <c r="A161">
        <v>160</v>
      </c>
      <c r="D161" t="s">
        <v>2395</v>
      </c>
      <c r="E161" t="s">
        <v>2396</v>
      </c>
      <c r="F161" t="s">
        <v>189</v>
      </c>
      <c r="I161" t="s">
        <v>2397</v>
      </c>
    </row>
    <row r="162" spans="1:9" x14ac:dyDescent="0.25">
      <c r="A162">
        <v>161</v>
      </c>
      <c r="D162" t="s">
        <v>2398</v>
      </c>
      <c r="E162" t="s">
        <v>2399</v>
      </c>
      <c r="F162" t="s">
        <v>189</v>
      </c>
      <c r="I162" t="s">
        <v>2400</v>
      </c>
    </row>
    <row r="163" spans="1:9" x14ac:dyDescent="0.25">
      <c r="A163">
        <v>162</v>
      </c>
    </row>
    <row r="164" spans="1:9" x14ac:dyDescent="0.25">
      <c r="A164">
        <v>163</v>
      </c>
      <c r="D164" t="s">
        <v>2401</v>
      </c>
      <c r="E164" t="s">
        <v>2402</v>
      </c>
      <c r="F164" t="s">
        <v>189</v>
      </c>
      <c r="I164" t="s">
        <v>2073</v>
      </c>
    </row>
    <row r="165" spans="1:9" x14ac:dyDescent="0.25">
      <c r="A165">
        <v>164</v>
      </c>
      <c r="D165" t="s">
        <v>2403</v>
      </c>
      <c r="E165" t="s">
        <v>2404</v>
      </c>
      <c r="F165" t="s">
        <v>189</v>
      </c>
      <c r="I165" t="s">
        <v>2405</v>
      </c>
    </row>
    <row r="166" spans="1:9" x14ac:dyDescent="0.25">
      <c r="A166">
        <v>165</v>
      </c>
      <c r="D166" t="s">
        <v>2406</v>
      </c>
      <c r="E166" t="s">
        <v>2407</v>
      </c>
      <c r="F166" t="s">
        <v>189</v>
      </c>
      <c r="I166" t="s">
        <v>2408</v>
      </c>
    </row>
    <row r="167" spans="1:9" x14ac:dyDescent="0.25">
      <c r="A167">
        <v>166</v>
      </c>
      <c r="D167" t="s">
        <v>2409</v>
      </c>
      <c r="E167" t="s">
        <v>2410</v>
      </c>
      <c r="F167" t="s">
        <v>189</v>
      </c>
      <c r="I167" t="s">
        <v>2411</v>
      </c>
    </row>
    <row r="168" spans="1:9" x14ac:dyDescent="0.25">
      <c r="A168">
        <v>167</v>
      </c>
      <c r="D168" t="s">
        <v>2412</v>
      </c>
      <c r="E168" t="s">
        <v>2413</v>
      </c>
      <c r="F168" t="s">
        <v>189</v>
      </c>
      <c r="I168" t="s">
        <v>2414</v>
      </c>
    </row>
    <row r="169" spans="1:9" x14ac:dyDescent="0.25">
      <c r="A169">
        <v>168</v>
      </c>
      <c r="D169" t="s">
        <v>2415</v>
      </c>
      <c r="E169" t="s">
        <v>2416</v>
      </c>
      <c r="F169" t="s">
        <v>189</v>
      </c>
      <c r="I169" t="s">
        <v>2417</v>
      </c>
    </row>
    <row r="170" spans="1:9" x14ac:dyDescent="0.25">
      <c r="A170">
        <v>169</v>
      </c>
      <c r="D170" t="s">
        <v>2418</v>
      </c>
      <c r="E170" t="s">
        <v>2419</v>
      </c>
      <c r="F170" t="s">
        <v>189</v>
      </c>
      <c r="I170" t="s">
        <v>2420</v>
      </c>
    </row>
    <row r="171" spans="1:9" x14ac:dyDescent="0.25">
      <c r="A171">
        <v>170</v>
      </c>
      <c r="D171" t="s">
        <v>2421</v>
      </c>
      <c r="E171" t="s">
        <v>2407</v>
      </c>
      <c r="F171" t="s">
        <v>189</v>
      </c>
      <c r="I171" t="s">
        <v>2422</v>
      </c>
    </row>
    <row r="172" spans="1:9" x14ac:dyDescent="0.25">
      <c r="A172">
        <v>171</v>
      </c>
      <c r="D172" t="s">
        <v>2423</v>
      </c>
      <c r="E172" t="s">
        <v>2424</v>
      </c>
      <c r="F172" t="s">
        <v>189</v>
      </c>
      <c r="I172" t="s">
        <v>2073</v>
      </c>
    </row>
    <row r="173" spans="1:9" x14ac:dyDescent="0.25">
      <c r="A173">
        <v>172</v>
      </c>
      <c r="D173" t="s">
        <v>2425</v>
      </c>
      <c r="E173" t="s">
        <v>2426</v>
      </c>
      <c r="F173" t="s">
        <v>189</v>
      </c>
      <c r="I173" t="s">
        <v>1305</v>
      </c>
    </row>
    <row r="174" spans="1:9" x14ac:dyDescent="0.25">
      <c r="A174">
        <v>173</v>
      </c>
      <c r="D174" t="s">
        <v>2427</v>
      </c>
      <c r="E174" t="s">
        <v>2428</v>
      </c>
      <c r="F174" t="s">
        <v>189</v>
      </c>
      <c r="I174" t="s">
        <v>2073</v>
      </c>
    </row>
    <row r="175" spans="1:9" x14ac:dyDescent="0.25">
      <c r="A175">
        <v>174</v>
      </c>
      <c r="D175" t="s">
        <v>2429</v>
      </c>
      <c r="E175" t="s">
        <v>2430</v>
      </c>
      <c r="F175" t="s">
        <v>189</v>
      </c>
      <c r="I175" t="s">
        <v>2073</v>
      </c>
    </row>
    <row r="176" spans="1:9" x14ac:dyDescent="0.25">
      <c r="A176">
        <v>175</v>
      </c>
      <c r="D176" t="s">
        <v>2431</v>
      </c>
      <c r="E176" t="s">
        <v>2432</v>
      </c>
      <c r="F176" t="s">
        <v>189</v>
      </c>
      <c r="I176" t="s">
        <v>2433</v>
      </c>
    </row>
    <row r="177" spans="1:9" x14ac:dyDescent="0.25">
      <c r="A177">
        <v>176</v>
      </c>
      <c r="D177" t="s">
        <v>2434</v>
      </c>
      <c r="E177" t="s">
        <v>2435</v>
      </c>
      <c r="F177" t="s">
        <v>189</v>
      </c>
      <c r="I177" t="s">
        <v>2436</v>
      </c>
    </row>
    <row r="178" spans="1:9" x14ac:dyDescent="0.25">
      <c r="A178">
        <v>177</v>
      </c>
      <c r="D178" t="s">
        <v>2437</v>
      </c>
      <c r="E178" t="s">
        <v>2438</v>
      </c>
      <c r="F178" t="s">
        <v>189</v>
      </c>
      <c r="I178" t="s">
        <v>2439</v>
      </c>
    </row>
    <row r="179" spans="1:9" x14ac:dyDescent="0.25">
      <c r="A179">
        <v>178</v>
      </c>
      <c r="D179" t="s">
        <v>2440</v>
      </c>
      <c r="E179" t="s">
        <v>2441</v>
      </c>
      <c r="F179" t="s">
        <v>189</v>
      </c>
      <c r="I179" t="s">
        <v>2442</v>
      </c>
    </row>
    <row r="180" spans="1:9" x14ac:dyDescent="0.25">
      <c r="A180">
        <v>179</v>
      </c>
      <c r="D180" t="s">
        <v>2443</v>
      </c>
      <c r="E180" t="s">
        <v>2444</v>
      </c>
      <c r="F180" t="s">
        <v>189</v>
      </c>
      <c r="I180" t="s">
        <v>2445</v>
      </c>
    </row>
    <row r="181" spans="1:9" x14ac:dyDescent="0.25">
      <c r="A181">
        <v>180</v>
      </c>
      <c r="D181" t="s">
        <v>2446</v>
      </c>
      <c r="E181" t="s">
        <v>2447</v>
      </c>
      <c r="F181" t="s">
        <v>189</v>
      </c>
      <c r="I181" t="s">
        <v>2448</v>
      </c>
    </row>
    <row r="182" spans="1:9" x14ac:dyDescent="0.25">
      <c r="A182">
        <v>181</v>
      </c>
      <c r="D182" t="s">
        <v>2449</v>
      </c>
      <c r="E182" t="s">
        <v>2450</v>
      </c>
      <c r="F182" t="s">
        <v>189</v>
      </c>
      <c r="I182" t="s">
        <v>2451</v>
      </c>
    </row>
    <row r="183" spans="1:9" x14ac:dyDescent="0.25">
      <c r="A183">
        <v>182</v>
      </c>
      <c r="D183" t="s">
        <v>2452</v>
      </c>
      <c r="E183" t="s">
        <v>2453</v>
      </c>
      <c r="F183" t="s">
        <v>189</v>
      </c>
      <c r="I183" t="s">
        <v>2454</v>
      </c>
    </row>
    <row r="184" spans="1:9" x14ac:dyDescent="0.25">
      <c r="A184">
        <v>183</v>
      </c>
      <c r="D184" t="s">
        <v>2455</v>
      </c>
      <c r="E184" t="s">
        <v>2456</v>
      </c>
      <c r="F184" t="s">
        <v>189</v>
      </c>
      <c r="I184" t="s">
        <v>2457</v>
      </c>
    </row>
    <row r="185" spans="1:9" x14ac:dyDescent="0.25">
      <c r="A185">
        <v>184</v>
      </c>
      <c r="D185" t="s">
        <v>2458</v>
      </c>
      <c r="E185" t="s">
        <v>2459</v>
      </c>
      <c r="F185" t="s">
        <v>189</v>
      </c>
      <c r="I185" t="s">
        <v>2460</v>
      </c>
    </row>
    <row r="186" spans="1:9" x14ac:dyDescent="0.25">
      <c r="A186">
        <v>185</v>
      </c>
      <c r="D186" t="s">
        <v>2461</v>
      </c>
      <c r="E186" t="s">
        <v>2462</v>
      </c>
      <c r="F186" t="s">
        <v>189</v>
      </c>
      <c r="I186" t="s">
        <v>2463</v>
      </c>
    </row>
    <row r="187" spans="1:9" ht="330" x14ac:dyDescent="0.25">
      <c r="A187">
        <v>186</v>
      </c>
      <c r="D187" t="s">
        <v>2449</v>
      </c>
      <c r="E187" t="s">
        <v>2464</v>
      </c>
      <c r="F187" t="s">
        <v>189</v>
      </c>
      <c r="I187" s="11" t="s">
        <v>2465</v>
      </c>
    </row>
    <row r="188" spans="1:9" x14ac:dyDescent="0.25">
      <c r="A188">
        <v>187</v>
      </c>
      <c r="D188" t="s">
        <v>2466</v>
      </c>
      <c r="E188" t="s">
        <v>2467</v>
      </c>
      <c r="F188" t="s">
        <v>189</v>
      </c>
      <c r="I188" t="s">
        <v>2468</v>
      </c>
    </row>
    <row r="189" spans="1:9" x14ac:dyDescent="0.25">
      <c r="A189">
        <v>188</v>
      </c>
      <c r="D189" t="s">
        <v>2469</v>
      </c>
      <c r="E189" t="s">
        <v>2470</v>
      </c>
      <c r="F189" t="s">
        <v>189</v>
      </c>
      <c r="I189" t="s">
        <v>1305</v>
      </c>
    </row>
    <row r="190" spans="1:9" x14ac:dyDescent="0.25">
      <c r="A190">
        <v>189</v>
      </c>
      <c r="D190" t="s">
        <v>2471</v>
      </c>
      <c r="E190" t="s">
        <v>2472</v>
      </c>
      <c r="F190" t="s">
        <v>189</v>
      </c>
      <c r="I190" t="s">
        <v>1305</v>
      </c>
    </row>
    <row r="191" spans="1:9" x14ac:dyDescent="0.25">
      <c r="A191">
        <v>190</v>
      </c>
      <c r="D191" t="s">
        <v>2473</v>
      </c>
      <c r="E191" t="s">
        <v>2128</v>
      </c>
      <c r="F191" t="s">
        <v>189</v>
      </c>
      <c r="I191" t="s">
        <v>1305</v>
      </c>
    </row>
    <row r="192" spans="1:9" x14ac:dyDescent="0.25">
      <c r="A192">
        <v>191</v>
      </c>
      <c r="D192" t="s">
        <v>2474</v>
      </c>
      <c r="E192" t="s">
        <v>2475</v>
      </c>
      <c r="F192" t="s">
        <v>189</v>
      </c>
      <c r="I192" t="s">
        <v>1305</v>
      </c>
    </row>
    <row r="193" spans="1:9" x14ac:dyDescent="0.25">
      <c r="A193">
        <v>192</v>
      </c>
      <c r="D193" t="s">
        <v>2476</v>
      </c>
      <c r="E193" t="s">
        <v>2477</v>
      </c>
      <c r="F193" t="s">
        <v>189</v>
      </c>
      <c r="I193" t="s">
        <v>1305</v>
      </c>
    </row>
    <row r="194" spans="1:9" x14ac:dyDescent="0.25">
      <c r="A194">
        <v>193</v>
      </c>
      <c r="D194" t="s">
        <v>2478</v>
      </c>
      <c r="E194" t="s">
        <v>2479</v>
      </c>
      <c r="F194" t="s">
        <v>189</v>
      </c>
      <c r="I194" t="s">
        <v>2480</v>
      </c>
    </row>
    <row r="195" spans="1:9" x14ac:dyDescent="0.25">
      <c r="A195">
        <v>194</v>
      </c>
      <c r="D195" t="s">
        <v>2481</v>
      </c>
      <c r="E195" t="s">
        <v>2482</v>
      </c>
      <c r="F195" t="s">
        <v>189</v>
      </c>
      <c r="I195" t="s">
        <v>1305</v>
      </c>
    </row>
    <row r="196" spans="1:9" x14ac:dyDescent="0.25">
      <c r="A196">
        <v>195</v>
      </c>
      <c r="F196" t="s">
        <v>189</v>
      </c>
    </row>
    <row r="197" spans="1:9" ht="105" x14ac:dyDescent="0.25">
      <c r="A197">
        <v>196</v>
      </c>
      <c r="D197" t="s">
        <v>2483</v>
      </c>
      <c r="E197" t="s">
        <v>2484</v>
      </c>
      <c r="F197" t="s">
        <v>189</v>
      </c>
      <c r="I197" s="11" t="s">
        <v>2485</v>
      </c>
    </row>
    <row r="198" spans="1:9" x14ac:dyDescent="0.25">
      <c r="A198">
        <v>197</v>
      </c>
      <c r="D198" t="s">
        <v>2486</v>
      </c>
      <c r="E198" t="s">
        <v>2487</v>
      </c>
      <c r="F198" t="s">
        <v>189</v>
      </c>
      <c r="I198" t="s">
        <v>2488</v>
      </c>
    </row>
    <row r="199" spans="1:9" ht="120" x14ac:dyDescent="0.25">
      <c r="A199">
        <v>198</v>
      </c>
      <c r="D199" t="s">
        <v>2489</v>
      </c>
      <c r="E199" s="11" t="s">
        <v>2490</v>
      </c>
      <c r="F199" t="s">
        <v>189</v>
      </c>
      <c r="I199" t="s">
        <v>2491</v>
      </c>
    </row>
    <row r="200" spans="1:9" x14ac:dyDescent="0.25">
      <c r="A200">
        <v>199</v>
      </c>
      <c r="D200" t="s">
        <v>2492</v>
      </c>
      <c r="E200" t="s">
        <v>2493</v>
      </c>
      <c r="F200" t="s">
        <v>189</v>
      </c>
      <c r="I200" t="s">
        <v>2494</v>
      </c>
    </row>
    <row r="201" spans="1:9" x14ac:dyDescent="0.25">
      <c r="A201">
        <v>200</v>
      </c>
      <c r="D201" t="s">
        <v>2495</v>
      </c>
      <c r="E201" t="s">
        <v>2496</v>
      </c>
      <c r="F201" t="s">
        <v>189</v>
      </c>
      <c r="I201" t="s">
        <v>2497</v>
      </c>
    </row>
    <row r="202" spans="1:9" x14ac:dyDescent="0.25">
      <c r="A202">
        <v>201</v>
      </c>
      <c r="D202" t="s">
        <v>2498</v>
      </c>
      <c r="E202" t="s">
        <v>2499</v>
      </c>
      <c r="F202" t="s">
        <v>189</v>
      </c>
      <c r="I202" t="s">
        <v>2500</v>
      </c>
    </row>
    <row r="203" spans="1:9" x14ac:dyDescent="0.25">
      <c r="A203">
        <v>202</v>
      </c>
      <c r="D203" t="s">
        <v>2501</v>
      </c>
      <c r="E203" t="s">
        <v>2502</v>
      </c>
      <c r="F203" t="s">
        <v>189</v>
      </c>
      <c r="I203" t="s">
        <v>2503</v>
      </c>
    </row>
    <row r="204" spans="1:9" x14ac:dyDescent="0.25">
      <c r="A204">
        <v>203</v>
      </c>
      <c r="D204" t="s">
        <v>2504</v>
      </c>
      <c r="E204" t="s">
        <v>2505</v>
      </c>
      <c r="F204" t="s">
        <v>189</v>
      </c>
      <c r="I204" t="s">
        <v>2506</v>
      </c>
    </row>
    <row r="205" spans="1:9" x14ac:dyDescent="0.25">
      <c r="A205">
        <v>204</v>
      </c>
      <c r="D205" t="s">
        <v>2507</v>
      </c>
      <c r="E205" t="s">
        <v>2508</v>
      </c>
      <c r="F205" t="s">
        <v>189</v>
      </c>
      <c r="I205" t="s">
        <v>2509</v>
      </c>
    </row>
    <row r="206" spans="1:9" x14ac:dyDescent="0.25">
      <c r="A206">
        <v>205</v>
      </c>
      <c r="D206" t="s">
        <v>2510</v>
      </c>
      <c r="E206" t="s">
        <v>2511</v>
      </c>
      <c r="F206" t="s">
        <v>189</v>
      </c>
      <c r="I206" t="s">
        <v>2512</v>
      </c>
    </row>
    <row r="207" spans="1:9" x14ac:dyDescent="0.25">
      <c r="A207">
        <v>206</v>
      </c>
      <c r="D207" t="s">
        <v>2513</v>
      </c>
      <c r="E207" t="s">
        <v>2514</v>
      </c>
      <c r="F207" t="s">
        <v>189</v>
      </c>
      <c r="I207" t="s">
        <v>2515</v>
      </c>
    </row>
    <row r="208" spans="1:9" x14ac:dyDescent="0.25">
      <c r="A208">
        <v>207</v>
      </c>
      <c r="D208" t="s">
        <v>2516</v>
      </c>
      <c r="E208" t="s">
        <v>2517</v>
      </c>
      <c r="F208" t="s">
        <v>189</v>
      </c>
      <c r="I208" t="s">
        <v>2518</v>
      </c>
    </row>
    <row r="209" spans="1:9" x14ac:dyDescent="0.25">
      <c r="A209">
        <v>208</v>
      </c>
      <c r="D209" t="s">
        <v>2519</v>
      </c>
      <c r="E209" t="s">
        <v>2520</v>
      </c>
      <c r="F209" t="s">
        <v>189</v>
      </c>
      <c r="I209" t="s">
        <v>2521</v>
      </c>
    </row>
    <row r="210" spans="1:9" x14ac:dyDescent="0.25">
      <c r="A210">
        <v>209</v>
      </c>
      <c r="D210" t="s">
        <v>2522</v>
      </c>
      <c r="E210" t="s">
        <v>2523</v>
      </c>
      <c r="F210" t="s">
        <v>189</v>
      </c>
      <c r="I210" t="s">
        <v>2524</v>
      </c>
    </row>
    <row r="211" spans="1:9" x14ac:dyDescent="0.25">
      <c r="A211">
        <v>210</v>
      </c>
      <c r="D211" t="s">
        <v>2525</v>
      </c>
      <c r="E211" t="s">
        <v>2526</v>
      </c>
      <c r="F211" t="s">
        <v>189</v>
      </c>
      <c r="I211" t="s">
        <v>2527</v>
      </c>
    </row>
    <row r="212" spans="1:9" ht="105" x14ac:dyDescent="0.25">
      <c r="A212">
        <v>211</v>
      </c>
      <c r="D212" s="11" t="s">
        <v>2528</v>
      </c>
      <c r="E212" t="s">
        <v>2529</v>
      </c>
      <c r="F212" t="s">
        <v>189</v>
      </c>
      <c r="I212" s="11" t="s">
        <v>2530</v>
      </c>
    </row>
    <row r="213" spans="1:9" x14ac:dyDescent="0.25">
      <c r="A213">
        <v>212</v>
      </c>
      <c r="D213" t="s">
        <v>2531</v>
      </c>
      <c r="E213" t="s">
        <v>2532</v>
      </c>
      <c r="F213" t="s">
        <v>189</v>
      </c>
      <c r="I213" t="s">
        <v>2533</v>
      </c>
    </row>
    <row r="214" spans="1:9" x14ac:dyDescent="0.25">
      <c r="A214">
        <v>213</v>
      </c>
      <c r="D214" t="s">
        <v>2534</v>
      </c>
      <c r="E214" t="s">
        <v>2535</v>
      </c>
      <c r="F214" t="s">
        <v>189</v>
      </c>
      <c r="I214" t="s">
        <v>2536</v>
      </c>
    </row>
    <row r="215" spans="1:9" x14ac:dyDescent="0.25">
      <c r="A215">
        <v>214</v>
      </c>
      <c r="D215" t="s">
        <v>2537</v>
      </c>
      <c r="E215" t="s">
        <v>2538</v>
      </c>
      <c r="F215" t="s">
        <v>189</v>
      </c>
      <c r="I215" t="s">
        <v>2539</v>
      </c>
    </row>
    <row r="216" spans="1:9" x14ac:dyDescent="0.25">
      <c r="A216">
        <v>215</v>
      </c>
      <c r="D216" t="s">
        <v>2540</v>
      </c>
      <c r="E216" t="s">
        <v>2541</v>
      </c>
      <c r="F216" t="s">
        <v>189</v>
      </c>
      <c r="I216" t="s">
        <v>2542</v>
      </c>
    </row>
    <row r="217" spans="1:9" x14ac:dyDescent="0.25">
      <c r="A217">
        <v>216</v>
      </c>
      <c r="D217" t="s">
        <v>2543</v>
      </c>
      <c r="E217" t="s">
        <v>2544</v>
      </c>
      <c r="F217" t="s">
        <v>189</v>
      </c>
      <c r="I217" t="s">
        <v>2545</v>
      </c>
    </row>
    <row r="218" spans="1:9" x14ac:dyDescent="0.25">
      <c r="A218">
        <v>217</v>
      </c>
      <c r="D218" t="s">
        <v>2546</v>
      </c>
      <c r="E218" t="s">
        <v>2547</v>
      </c>
      <c r="F218" t="s">
        <v>189</v>
      </c>
      <c r="I218" t="s">
        <v>1305</v>
      </c>
    </row>
    <row r="219" spans="1:9" x14ac:dyDescent="0.25">
      <c r="A219">
        <v>218</v>
      </c>
      <c r="D219" t="s">
        <v>2548</v>
      </c>
      <c r="E219" t="s">
        <v>2549</v>
      </c>
      <c r="F219" t="s">
        <v>189</v>
      </c>
      <c r="I219" t="s">
        <v>1305</v>
      </c>
    </row>
    <row r="220" spans="1:9" x14ac:dyDescent="0.25">
      <c r="A220">
        <v>219</v>
      </c>
      <c r="F220" t="s">
        <v>189</v>
      </c>
    </row>
    <row r="221" spans="1:9" x14ac:dyDescent="0.25">
      <c r="A221">
        <v>220</v>
      </c>
      <c r="D221" t="s">
        <v>2550</v>
      </c>
      <c r="E221" t="s">
        <v>2551</v>
      </c>
      <c r="F221" t="s">
        <v>189</v>
      </c>
      <c r="I221" t="s">
        <v>2073</v>
      </c>
    </row>
    <row r="222" spans="1:9" x14ac:dyDescent="0.25">
      <c r="A222">
        <v>221</v>
      </c>
      <c r="D222" t="s">
        <v>2552</v>
      </c>
      <c r="E222" t="s">
        <v>2553</v>
      </c>
      <c r="F222" t="s">
        <v>189</v>
      </c>
      <c r="I222" t="s">
        <v>2073</v>
      </c>
    </row>
    <row r="223" spans="1:9" x14ac:dyDescent="0.25">
      <c r="A223">
        <v>222</v>
      </c>
      <c r="D223" t="s">
        <v>2554</v>
      </c>
      <c r="E223" t="s">
        <v>2555</v>
      </c>
      <c r="F223" t="s">
        <v>189</v>
      </c>
      <c r="I223" t="s">
        <v>2556</v>
      </c>
    </row>
    <row r="224" spans="1:9" x14ac:dyDescent="0.25">
      <c r="A224">
        <v>223</v>
      </c>
      <c r="D224" t="s">
        <v>2557</v>
      </c>
      <c r="E224" t="s">
        <v>2541</v>
      </c>
      <c r="F224" t="s">
        <v>189</v>
      </c>
      <c r="I224" t="s">
        <v>1305</v>
      </c>
    </row>
    <row r="225" spans="1:9" x14ac:dyDescent="0.25">
      <c r="A225">
        <v>224</v>
      </c>
      <c r="D225" t="s">
        <v>2558</v>
      </c>
      <c r="E225" t="s">
        <v>2559</v>
      </c>
      <c r="F225" t="s">
        <v>189</v>
      </c>
      <c r="I225" t="s">
        <v>2073</v>
      </c>
    </row>
    <row r="226" spans="1:9" x14ac:dyDescent="0.25">
      <c r="A226">
        <v>225</v>
      </c>
      <c r="D226" t="s">
        <v>2560</v>
      </c>
      <c r="E226" t="s">
        <v>2561</v>
      </c>
      <c r="F226" t="s">
        <v>189</v>
      </c>
      <c r="I226" t="s">
        <v>2562</v>
      </c>
    </row>
    <row r="227" spans="1:9" ht="409.5" x14ac:dyDescent="0.25">
      <c r="A227">
        <v>226</v>
      </c>
      <c r="D227" t="s">
        <v>2563</v>
      </c>
      <c r="E227" t="s">
        <v>2564</v>
      </c>
      <c r="F227" t="s">
        <v>189</v>
      </c>
      <c r="I227" s="11" t="s">
        <v>2565</v>
      </c>
    </row>
    <row r="228" spans="1:9" x14ac:dyDescent="0.25">
      <c r="A228">
        <v>227</v>
      </c>
      <c r="D228" t="s">
        <v>2566</v>
      </c>
      <c r="E228" t="s">
        <v>2511</v>
      </c>
      <c r="F228" t="s">
        <v>189</v>
      </c>
      <c r="I228" t="s">
        <v>2567</v>
      </c>
    </row>
    <row r="229" spans="1:9" x14ac:dyDescent="0.25">
      <c r="A229">
        <v>228</v>
      </c>
      <c r="D229" t="s">
        <v>2568</v>
      </c>
      <c r="E229" t="s">
        <v>2569</v>
      </c>
      <c r="F229" t="s">
        <v>189</v>
      </c>
      <c r="I229" t="s">
        <v>2570</v>
      </c>
    </row>
    <row r="230" spans="1:9" x14ac:dyDescent="0.25">
      <c r="A230">
        <v>229</v>
      </c>
      <c r="D230" t="s">
        <v>2571</v>
      </c>
      <c r="E230" t="s">
        <v>2572</v>
      </c>
      <c r="F230" t="s">
        <v>189</v>
      </c>
      <c r="I230" t="s">
        <v>2573</v>
      </c>
    </row>
    <row r="231" spans="1:9" x14ac:dyDescent="0.25">
      <c r="A231">
        <v>230</v>
      </c>
      <c r="D231" t="s">
        <v>2574</v>
      </c>
      <c r="E231" t="s">
        <v>2575</v>
      </c>
      <c r="F231" t="s">
        <v>189</v>
      </c>
      <c r="I231" t="s">
        <v>2576</v>
      </c>
    </row>
    <row r="232" spans="1:9" x14ac:dyDescent="0.25">
      <c r="A232">
        <v>231</v>
      </c>
      <c r="D232" t="s">
        <v>2577</v>
      </c>
      <c r="E232" t="s">
        <v>2578</v>
      </c>
      <c r="F232" t="s">
        <v>189</v>
      </c>
      <c r="I232" t="s">
        <v>2579</v>
      </c>
    </row>
    <row r="233" spans="1:9" x14ac:dyDescent="0.25">
      <c r="A233">
        <v>232</v>
      </c>
      <c r="D233" t="s">
        <v>2580</v>
      </c>
      <c r="E233" t="s">
        <v>2581</v>
      </c>
      <c r="F233" t="s">
        <v>189</v>
      </c>
      <c r="I233" t="s">
        <v>2582</v>
      </c>
    </row>
    <row r="234" spans="1:9" x14ac:dyDescent="0.25">
      <c r="A234">
        <v>233</v>
      </c>
      <c r="D234" t="s">
        <v>2583</v>
      </c>
      <c r="E234" t="s">
        <v>2584</v>
      </c>
      <c r="F234" t="s">
        <v>189</v>
      </c>
      <c r="I234" t="s">
        <v>2585</v>
      </c>
    </row>
    <row r="235" spans="1:9" x14ac:dyDescent="0.25">
      <c r="A235">
        <v>234</v>
      </c>
      <c r="D235" t="s">
        <v>2586</v>
      </c>
      <c r="E235" t="s">
        <v>2587</v>
      </c>
      <c r="F235" t="s">
        <v>189</v>
      </c>
      <c r="I235" t="s">
        <v>2588</v>
      </c>
    </row>
    <row r="236" spans="1:9" x14ac:dyDescent="0.25">
      <c r="A236">
        <v>235</v>
      </c>
      <c r="D236" t="s">
        <v>2589</v>
      </c>
      <c r="E236" t="s">
        <v>2590</v>
      </c>
      <c r="F236" t="s">
        <v>189</v>
      </c>
      <c r="I236" t="s">
        <v>2591</v>
      </c>
    </row>
    <row r="237" spans="1:9" x14ac:dyDescent="0.25">
      <c r="A237">
        <v>236</v>
      </c>
      <c r="D237" t="s">
        <v>2592</v>
      </c>
      <c r="E237" t="s">
        <v>2593</v>
      </c>
      <c r="F237" t="s">
        <v>189</v>
      </c>
      <c r="I237" t="s">
        <v>2594</v>
      </c>
    </row>
    <row r="238" spans="1:9" x14ac:dyDescent="0.25">
      <c r="A238">
        <v>237</v>
      </c>
      <c r="D238" t="s">
        <v>2595</v>
      </c>
      <c r="E238" t="s">
        <v>2593</v>
      </c>
      <c r="F238" t="s">
        <v>189</v>
      </c>
      <c r="I238" t="s">
        <v>2596</v>
      </c>
    </row>
    <row r="239" spans="1:9" x14ac:dyDescent="0.25">
      <c r="A239">
        <v>238</v>
      </c>
      <c r="D239" t="s">
        <v>2597</v>
      </c>
      <c r="E239" t="s">
        <v>2598</v>
      </c>
      <c r="F239" t="s">
        <v>189</v>
      </c>
      <c r="I239" t="s">
        <v>2599</v>
      </c>
    </row>
    <row r="240" spans="1:9" x14ac:dyDescent="0.25">
      <c r="A240">
        <v>239</v>
      </c>
      <c r="D240" t="s">
        <v>2600</v>
      </c>
      <c r="E240" t="s">
        <v>2601</v>
      </c>
      <c r="F240" t="s">
        <v>189</v>
      </c>
      <c r="I240" t="s">
        <v>2602</v>
      </c>
    </row>
    <row r="241" spans="1:9" x14ac:dyDescent="0.25">
      <c r="A241">
        <v>240</v>
      </c>
      <c r="D241" t="s">
        <v>2603</v>
      </c>
      <c r="E241" t="s">
        <v>2604</v>
      </c>
      <c r="F241" t="s">
        <v>189</v>
      </c>
      <c r="I241" t="s">
        <v>2605</v>
      </c>
    </row>
    <row r="242" spans="1:9" x14ac:dyDescent="0.25">
      <c r="A242">
        <v>241</v>
      </c>
      <c r="D242" t="s">
        <v>2606</v>
      </c>
      <c r="E242" t="s">
        <v>2604</v>
      </c>
      <c r="F242" t="s">
        <v>189</v>
      </c>
      <c r="I242" t="s">
        <v>2607</v>
      </c>
    </row>
    <row r="243" spans="1:9" x14ac:dyDescent="0.25">
      <c r="A243">
        <v>242</v>
      </c>
      <c r="D243" t="s">
        <v>2608</v>
      </c>
      <c r="E243" t="s">
        <v>2514</v>
      </c>
      <c r="F243" t="s">
        <v>189</v>
      </c>
      <c r="I243" t="s">
        <v>1305</v>
      </c>
    </row>
    <row r="244" spans="1:9" x14ac:dyDescent="0.25">
      <c r="A244">
        <v>243</v>
      </c>
      <c r="D244" t="s">
        <v>2609</v>
      </c>
      <c r="E244" t="s">
        <v>2610</v>
      </c>
      <c r="F244" t="s">
        <v>189</v>
      </c>
      <c r="I244" t="s">
        <v>1305</v>
      </c>
    </row>
    <row r="245" spans="1:9" x14ac:dyDescent="0.25">
      <c r="A245">
        <v>244</v>
      </c>
      <c r="F245" t="s">
        <v>189</v>
      </c>
    </row>
    <row r="246" spans="1:9" x14ac:dyDescent="0.25">
      <c r="A246">
        <v>245</v>
      </c>
      <c r="D246" t="s">
        <v>2611</v>
      </c>
      <c r="E246" t="s">
        <v>2612</v>
      </c>
      <c r="F246" t="s">
        <v>189</v>
      </c>
      <c r="I246" t="s">
        <v>2073</v>
      </c>
    </row>
    <row r="247" spans="1:9" x14ac:dyDescent="0.25">
      <c r="A247">
        <v>246</v>
      </c>
      <c r="D247" t="s">
        <v>2613</v>
      </c>
      <c r="E247" t="s">
        <v>2614</v>
      </c>
      <c r="F247" t="s">
        <v>189</v>
      </c>
      <c r="I247" t="s">
        <v>2615</v>
      </c>
    </row>
    <row r="248" spans="1:9" x14ac:dyDescent="0.25">
      <c r="A248">
        <v>247</v>
      </c>
      <c r="D248" t="s">
        <v>2616</v>
      </c>
      <c r="E248" t="s">
        <v>2617</v>
      </c>
      <c r="F248" t="s">
        <v>189</v>
      </c>
      <c r="I248" t="s">
        <v>2618</v>
      </c>
    </row>
    <row r="249" spans="1:9" x14ac:dyDescent="0.25">
      <c r="A249">
        <v>248</v>
      </c>
      <c r="D249" t="s">
        <v>2619</v>
      </c>
      <c r="E249" t="s">
        <v>2620</v>
      </c>
      <c r="F249" t="s">
        <v>189</v>
      </c>
      <c r="I249" t="s">
        <v>2621</v>
      </c>
    </row>
    <row r="250" spans="1:9" x14ac:dyDescent="0.25">
      <c r="A250">
        <v>249</v>
      </c>
      <c r="D250" t="s">
        <v>2622</v>
      </c>
      <c r="E250" t="s">
        <v>2623</v>
      </c>
      <c r="F250" t="s">
        <v>189</v>
      </c>
      <c r="I250" t="s">
        <v>1305</v>
      </c>
    </row>
    <row r="251" spans="1:9" x14ac:dyDescent="0.25">
      <c r="A251">
        <v>250</v>
      </c>
      <c r="D251" t="s">
        <v>2624</v>
      </c>
      <c r="E251" t="s">
        <v>2625</v>
      </c>
      <c r="F251" t="s">
        <v>189</v>
      </c>
      <c r="I251" t="s">
        <v>1305</v>
      </c>
    </row>
    <row r="252" spans="1:9" x14ac:dyDescent="0.25">
      <c r="A252">
        <v>251</v>
      </c>
      <c r="D252" t="s">
        <v>2626</v>
      </c>
      <c r="E252" t="s">
        <v>2627</v>
      </c>
      <c r="F252" t="s">
        <v>189</v>
      </c>
      <c r="I252" t="s">
        <v>2628</v>
      </c>
    </row>
    <row r="253" spans="1:9" x14ac:dyDescent="0.25">
      <c r="A253">
        <v>252</v>
      </c>
      <c r="D253" t="s">
        <v>2629</v>
      </c>
      <c r="E253" t="s">
        <v>2630</v>
      </c>
      <c r="F253" t="s">
        <v>189</v>
      </c>
      <c r="I253" t="s">
        <v>2631</v>
      </c>
    </row>
    <row r="254" spans="1:9" x14ac:dyDescent="0.25">
      <c r="A254">
        <v>253</v>
      </c>
      <c r="D254" t="s">
        <v>2632</v>
      </c>
      <c r="E254" t="s">
        <v>2633</v>
      </c>
      <c r="F254" t="s">
        <v>189</v>
      </c>
      <c r="I254" t="s">
        <v>2634</v>
      </c>
    </row>
    <row r="255" spans="1:9" x14ac:dyDescent="0.25">
      <c r="A255">
        <v>254</v>
      </c>
      <c r="D255" t="s">
        <v>2635</v>
      </c>
      <c r="E255" t="s">
        <v>2636</v>
      </c>
      <c r="F255" t="s">
        <v>189</v>
      </c>
      <c r="I255" t="s">
        <v>2637</v>
      </c>
    </row>
    <row r="256" spans="1:9" x14ac:dyDescent="0.25">
      <c r="A256">
        <v>255</v>
      </c>
      <c r="D256" t="s">
        <v>2638</v>
      </c>
      <c r="E256" t="s">
        <v>2639</v>
      </c>
      <c r="F256" t="s">
        <v>189</v>
      </c>
      <c r="I256" t="s">
        <v>2640</v>
      </c>
    </row>
    <row r="257" spans="1:9" x14ac:dyDescent="0.25">
      <c r="A257">
        <v>256</v>
      </c>
      <c r="D257" t="s">
        <v>2641</v>
      </c>
      <c r="E257" t="s">
        <v>2642</v>
      </c>
      <c r="F257" t="s">
        <v>189</v>
      </c>
      <c r="I257" t="s">
        <v>2643</v>
      </c>
    </row>
    <row r="258" spans="1:9" ht="45" x14ac:dyDescent="0.25">
      <c r="A258">
        <v>257</v>
      </c>
      <c r="D258" s="11" t="s">
        <v>2644</v>
      </c>
      <c r="E258" t="s">
        <v>2645</v>
      </c>
      <c r="F258" t="s">
        <v>189</v>
      </c>
      <c r="I258" t="s">
        <v>2646</v>
      </c>
    </row>
    <row r="259" spans="1:9" x14ac:dyDescent="0.25">
      <c r="A259">
        <v>258</v>
      </c>
      <c r="D259" t="s">
        <v>2647</v>
      </c>
      <c r="E259" t="s">
        <v>2648</v>
      </c>
      <c r="F259" t="s">
        <v>189</v>
      </c>
      <c r="I259" t="s">
        <v>2649</v>
      </c>
    </row>
    <row r="260" spans="1:9" x14ac:dyDescent="0.25">
      <c r="A260">
        <v>259</v>
      </c>
      <c r="D260" t="s">
        <v>2650</v>
      </c>
      <c r="E260" t="s">
        <v>2651</v>
      </c>
      <c r="F260" t="s">
        <v>189</v>
      </c>
      <c r="I260" t="s">
        <v>2652</v>
      </c>
    </row>
    <row r="261" spans="1:9" x14ac:dyDescent="0.25">
      <c r="A261">
        <v>260</v>
      </c>
      <c r="D261" t="s">
        <v>2653</v>
      </c>
      <c r="E261" t="s">
        <v>2654</v>
      </c>
      <c r="F261" t="s">
        <v>189</v>
      </c>
      <c r="I261" t="s">
        <v>2655</v>
      </c>
    </row>
    <row r="262" spans="1:9" x14ac:dyDescent="0.25">
      <c r="A262">
        <v>261</v>
      </c>
      <c r="D262" t="s">
        <v>2656</v>
      </c>
      <c r="E262" t="s">
        <v>2657</v>
      </c>
      <c r="F262" t="s">
        <v>189</v>
      </c>
      <c r="I262" t="s">
        <v>2658</v>
      </c>
    </row>
    <row r="263" spans="1:9" x14ac:dyDescent="0.25">
      <c r="A263">
        <v>262</v>
      </c>
      <c r="D263" t="s">
        <v>2659</v>
      </c>
      <c r="E263" t="s">
        <v>2660</v>
      </c>
      <c r="F263" t="s">
        <v>189</v>
      </c>
      <c r="I263" t="s">
        <v>2661</v>
      </c>
    </row>
    <row r="264" spans="1:9" x14ac:dyDescent="0.25">
      <c r="A264">
        <v>263</v>
      </c>
      <c r="D264" t="s">
        <v>2662</v>
      </c>
      <c r="E264" t="s">
        <v>2663</v>
      </c>
      <c r="F264" t="s">
        <v>189</v>
      </c>
      <c r="I264" t="s">
        <v>2664</v>
      </c>
    </row>
    <row r="265" spans="1:9" x14ac:dyDescent="0.25">
      <c r="A265">
        <v>264</v>
      </c>
      <c r="D265" t="s">
        <v>2665</v>
      </c>
      <c r="E265" t="s">
        <v>2666</v>
      </c>
      <c r="F265" t="s">
        <v>189</v>
      </c>
      <c r="I265" t="s">
        <v>2667</v>
      </c>
    </row>
    <row r="266" spans="1:9" x14ac:dyDescent="0.25">
      <c r="A266">
        <v>265</v>
      </c>
      <c r="D266" t="s">
        <v>2668</v>
      </c>
      <c r="E266" t="s">
        <v>2669</v>
      </c>
      <c r="F266" t="s">
        <v>189</v>
      </c>
      <c r="I266" t="s">
        <v>2670</v>
      </c>
    </row>
    <row r="267" spans="1:9" x14ac:dyDescent="0.25">
      <c r="A267">
        <v>266</v>
      </c>
      <c r="D267" t="s">
        <v>2671</v>
      </c>
      <c r="E267" t="s">
        <v>2672</v>
      </c>
      <c r="F267" t="s">
        <v>189</v>
      </c>
      <c r="I267" t="s">
        <v>2673</v>
      </c>
    </row>
    <row r="268" spans="1:9" x14ac:dyDescent="0.25">
      <c r="A268">
        <v>267</v>
      </c>
      <c r="D268" t="s">
        <v>2674</v>
      </c>
      <c r="E268" t="s">
        <v>2675</v>
      </c>
      <c r="F268" t="s">
        <v>189</v>
      </c>
      <c r="I268" t="s">
        <v>2676</v>
      </c>
    </row>
    <row r="269" spans="1:9" x14ac:dyDescent="0.25">
      <c r="A269">
        <v>268</v>
      </c>
      <c r="D269" t="s">
        <v>2677</v>
      </c>
      <c r="E269" t="s">
        <v>2678</v>
      </c>
      <c r="F269" t="s">
        <v>189</v>
      </c>
      <c r="I269" t="s">
        <v>1305</v>
      </c>
    </row>
    <row r="270" spans="1:9" x14ac:dyDescent="0.25">
      <c r="A270">
        <v>269</v>
      </c>
      <c r="D270" t="s">
        <v>2679</v>
      </c>
      <c r="E270" t="s">
        <v>2517</v>
      </c>
      <c r="F270" t="s">
        <v>189</v>
      </c>
      <c r="I270" t="s">
        <v>1305</v>
      </c>
    </row>
    <row r="271" spans="1:9" x14ac:dyDescent="0.25">
      <c r="A271">
        <v>270</v>
      </c>
      <c r="D271" t="s">
        <v>2680</v>
      </c>
      <c r="E271" t="s">
        <v>2681</v>
      </c>
      <c r="F271" t="s">
        <v>189</v>
      </c>
      <c r="I271" t="s">
        <v>1305</v>
      </c>
    </row>
    <row r="272" spans="1:9" x14ac:dyDescent="0.25">
      <c r="A272">
        <v>271</v>
      </c>
    </row>
    <row r="273" spans="1:9" x14ac:dyDescent="0.25">
      <c r="A273">
        <v>272</v>
      </c>
      <c r="D273" t="s">
        <v>2682</v>
      </c>
      <c r="E273" t="s">
        <v>2683</v>
      </c>
      <c r="F273" t="s">
        <v>189</v>
      </c>
      <c r="I273" t="s">
        <v>1305</v>
      </c>
    </row>
    <row r="274" spans="1:9" x14ac:dyDescent="0.25">
      <c r="A274">
        <v>273</v>
      </c>
      <c r="D274" t="s">
        <v>2684</v>
      </c>
      <c r="E274" t="s">
        <v>2685</v>
      </c>
      <c r="F274" t="s">
        <v>189</v>
      </c>
      <c r="I274" t="s">
        <v>1305</v>
      </c>
    </row>
    <row r="275" spans="1:9" x14ac:dyDescent="0.25">
      <c r="A275">
        <v>274</v>
      </c>
      <c r="D275" t="s">
        <v>2686</v>
      </c>
      <c r="E275" t="s">
        <v>2687</v>
      </c>
      <c r="F275" t="s">
        <v>189</v>
      </c>
      <c r="I275" t="s">
        <v>1305</v>
      </c>
    </row>
    <row r="276" spans="1:9" x14ac:dyDescent="0.25">
      <c r="A276">
        <v>275</v>
      </c>
      <c r="D276" t="s">
        <v>2688</v>
      </c>
      <c r="E276" t="s">
        <v>2689</v>
      </c>
      <c r="F276" t="s">
        <v>189</v>
      </c>
      <c r="I276" t="s">
        <v>2690</v>
      </c>
    </row>
    <row r="277" spans="1:9" x14ac:dyDescent="0.25">
      <c r="A277">
        <v>276</v>
      </c>
      <c r="D277" t="s">
        <v>2691</v>
      </c>
      <c r="E277" t="s">
        <v>2692</v>
      </c>
      <c r="F277" t="s">
        <v>189</v>
      </c>
      <c r="I277" t="s">
        <v>1305</v>
      </c>
    </row>
    <row r="278" spans="1:9" ht="195" x14ac:dyDescent="0.25">
      <c r="A278">
        <v>277</v>
      </c>
      <c r="D278" t="s">
        <v>2693</v>
      </c>
      <c r="E278" t="s">
        <v>2694</v>
      </c>
      <c r="F278" t="s">
        <v>189</v>
      </c>
      <c r="I278" s="11" t="s">
        <v>2695</v>
      </c>
    </row>
    <row r="279" spans="1:9" x14ac:dyDescent="0.25">
      <c r="A279">
        <v>278</v>
      </c>
      <c r="D279" t="s">
        <v>2696</v>
      </c>
      <c r="E279" t="s">
        <v>2697</v>
      </c>
      <c r="F279" t="s">
        <v>189</v>
      </c>
      <c r="I279" t="s">
        <v>2698</v>
      </c>
    </row>
    <row r="280" spans="1:9" x14ac:dyDescent="0.25">
      <c r="A280">
        <v>279</v>
      </c>
      <c r="D280" t="s">
        <v>2699</v>
      </c>
      <c r="E280" t="s">
        <v>2700</v>
      </c>
      <c r="F280" t="s">
        <v>189</v>
      </c>
      <c r="I280" t="s">
        <v>2701</v>
      </c>
    </row>
    <row r="281" spans="1:9" x14ac:dyDescent="0.25">
      <c r="A281">
        <v>280</v>
      </c>
      <c r="D281" t="s">
        <v>2702</v>
      </c>
      <c r="E281" t="s">
        <v>2703</v>
      </c>
      <c r="F281" t="s">
        <v>189</v>
      </c>
      <c r="I281" t="s">
        <v>2704</v>
      </c>
    </row>
    <row r="282" spans="1:9" x14ac:dyDescent="0.25">
      <c r="A282">
        <v>281</v>
      </c>
      <c r="D282" t="s">
        <v>2705</v>
      </c>
      <c r="E282" t="s">
        <v>2706</v>
      </c>
      <c r="F282" t="s">
        <v>189</v>
      </c>
      <c r="I282" t="s">
        <v>2707</v>
      </c>
    </row>
    <row r="283" spans="1:9" x14ac:dyDescent="0.25">
      <c r="A283">
        <v>282</v>
      </c>
      <c r="D283" t="s">
        <v>2708</v>
      </c>
      <c r="E283" t="s">
        <v>2709</v>
      </c>
      <c r="F283" t="s">
        <v>189</v>
      </c>
      <c r="I283" t="s">
        <v>2710</v>
      </c>
    </row>
    <row r="284" spans="1:9" x14ac:dyDescent="0.25">
      <c r="A284">
        <v>283</v>
      </c>
      <c r="D284" t="s">
        <v>2711</v>
      </c>
      <c r="E284" t="s">
        <v>2712</v>
      </c>
      <c r="F284" t="s">
        <v>189</v>
      </c>
      <c r="I284" t="s">
        <v>1305</v>
      </c>
    </row>
    <row r="285" spans="1:9" x14ac:dyDescent="0.25">
      <c r="A285">
        <v>284</v>
      </c>
      <c r="D285" t="s">
        <v>2713</v>
      </c>
      <c r="E285" t="s">
        <v>2714</v>
      </c>
      <c r="F285" t="s">
        <v>189</v>
      </c>
      <c r="I285" t="s">
        <v>2715</v>
      </c>
    </row>
    <row r="286" spans="1:9" x14ac:dyDescent="0.25">
      <c r="A286">
        <v>285</v>
      </c>
      <c r="D286" t="s">
        <v>2716</v>
      </c>
      <c r="E286" t="s">
        <v>2717</v>
      </c>
      <c r="F286" t="s">
        <v>189</v>
      </c>
      <c r="I286" t="s">
        <v>2718</v>
      </c>
    </row>
    <row r="287" spans="1:9" x14ac:dyDescent="0.25">
      <c r="A287">
        <v>286</v>
      </c>
      <c r="D287" t="s">
        <v>2719</v>
      </c>
      <c r="E287" t="s">
        <v>2720</v>
      </c>
      <c r="F287" t="s">
        <v>189</v>
      </c>
      <c r="I287" t="s">
        <v>2721</v>
      </c>
    </row>
    <row r="288" spans="1:9" x14ac:dyDescent="0.25">
      <c r="A288">
        <v>287</v>
      </c>
      <c r="D288" t="s">
        <v>2722</v>
      </c>
      <c r="E288" t="s">
        <v>2723</v>
      </c>
      <c r="F288" t="s">
        <v>189</v>
      </c>
      <c r="I288" t="s">
        <v>2724</v>
      </c>
    </row>
    <row r="289" spans="1:9" x14ac:dyDescent="0.25">
      <c r="A289">
        <v>288</v>
      </c>
      <c r="D289" t="s">
        <v>2725</v>
      </c>
      <c r="E289" t="s">
        <v>2726</v>
      </c>
      <c r="F289" t="s">
        <v>189</v>
      </c>
      <c r="I289" t="s">
        <v>2727</v>
      </c>
    </row>
    <row r="290" spans="1:9" x14ac:dyDescent="0.25">
      <c r="A290">
        <v>289</v>
      </c>
      <c r="D290" t="s">
        <v>2728</v>
      </c>
      <c r="E290" t="s">
        <v>2729</v>
      </c>
      <c r="F290" t="s">
        <v>189</v>
      </c>
      <c r="I290" t="s">
        <v>2730</v>
      </c>
    </row>
    <row r="291" spans="1:9" x14ac:dyDescent="0.25">
      <c r="A291">
        <v>290</v>
      </c>
      <c r="D291" t="s">
        <v>2731</v>
      </c>
      <c r="E291" t="s">
        <v>2732</v>
      </c>
      <c r="F291" t="s">
        <v>189</v>
      </c>
      <c r="I291" t="s">
        <v>1305</v>
      </c>
    </row>
    <row r="292" spans="1:9" x14ac:dyDescent="0.25">
      <c r="A292">
        <v>291</v>
      </c>
      <c r="D292" t="s">
        <v>2733</v>
      </c>
      <c r="E292" t="s">
        <v>2734</v>
      </c>
      <c r="F292" t="s">
        <v>189</v>
      </c>
      <c r="I292" t="s">
        <v>1305</v>
      </c>
    </row>
    <row r="293" spans="1:9" x14ac:dyDescent="0.25">
      <c r="A293">
        <v>292</v>
      </c>
      <c r="D293" t="s">
        <v>2735</v>
      </c>
      <c r="E293" t="s">
        <v>2736</v>
      </c>
      <c r="F293" t="s">
        <v>189</v>
      </c>
      <c r="I293" t="s">
        <v>1305</v>
      </c>
    </row>
    <row r="294" spans="1:9" x14ac:dyDescent="0.25">
      <c r="A294">
        <v>293</v>
      </c>
      <c r="D294" t="s">
        <v>2737</v>
      </c>
      <c r="E294" t="s">
        <v>2738</v>
      </c>
      <c r="F294" t="s">
        <v>189</v>
      </c>
      <c r="I294" t="s">
        <v>1305</v>
      </c>
    </row>
    <row r="295" spans="1:9" x14ac:dyDescent="0.25">
      <c r="A295">
        <v>294</v>
      </c>
      <c r="D295" t="s">
        <v>2739</v>
      </c>
      <c r="E295" t="s">
        <v>2740</v>
      </c>
      <c r="F295" t="s">
        <v>189</v>
      </c>
      <c r="I295" t="s">
        <v>1305</v>
      </c>
    </row>
    <row r="296" spans="1:9" x14ac:dyDescent="0.25">
      <c r="A296">
        <v>295</v>
      </c>
      <c r="D296" t="s">
        <v>2741</v>
      </c>
      <c r="E296" t="s">
        <v>2742</v>
      </c>
      <c r="F296" t="s">
        <v>189</v>
      </c>
      <c r="I296" t="s">
        <v>1305</v>
      </c>
    </row>
    <row r="297" spans="1:9" x14ac:dyDescent="0.25">
      <c r="A297">
        <v>296</v>
      </c>
      <c r="D297" t="s">
        <v>2743</v>
      </c>
      <c r="E297" t="s">
        <v>2744</v>
      </c>
      <c r="F297" t="s">
        <v>189</v>
      </c>
      <c r="I297" t="s">
        <v>1305</v>
      </c>
    </row>
    <row r="298" spans="1:9" x14ac:dyDescent="0.25">
      <c r="A298">
        <v>297</v>
      </c>
      <c r="D298" t="s">
        <v>2745</v>
      </c>
      <c r="E298" t="s">
        <v>2746</v>
      </c>
      <c r="F298" t="s">
        <v>189</v>
      </c>
      <c r="I298" t="s">
        <v>1305</v>
      </c>
    </row>
    <row r="299" spans="1:9" x14ac:dyDescent="0.25">
      <c r="A299">
        <v>298</v>
      </c>
      <c r="F299" t="s">
        <v>189</v>
      </c>
    </row>
    <row r="300" spans="1:9" x14ac:dyDescent="0.25">
      <c r="A300">
        <v>299</v>
      </c>
      <c r="D300" t="s">
        <v>2747</v>
      </c>
      <c r="E300" t="s">
        <v>2748</v>
      </c>
      <c r="F300" t="s">
        <v>189</v>
      </c>
      <c r="I300" t="s">
        <v>2749</v>
      </c>
    </row>
    <row r="301" spans="1:9" x14ac:dyDescent="0.25">
      <c r="A301">
        <v>300</v>
      </c>
      <c r="D301" t="s">
        <v>2750</v>
      </c>
      <c r="E301" t="s">
        <v>2751</v>
      </c>
      <c r="F301" t="s">
        <v>189</v>
      </c>
      <c r="I301" t="s">
        <v>2752</v>
      </c>
    </row>
    <row r="302" spans="1:9" x14ac:dyDescent="0.25">
      <c r="A302">
        <v>301</v>
      </c>
      <c r="D302" t="s">
        <v>2753</v>
      </c>
      <c r="E302" t="s">
        <v>2754</v>
      </c>
      <c r="F302" t="s">
        <v>189</v>
      </c>
      <c r="I302" t="s">
        <v>2755</v>
      </c>
    </row>
    <row r="303" spans="1:9" ht="120" x14ac:dyDescent="0.25">
      <c r="A303">
        <v>302</v>
      </c>
      <c r="D303" s="11" t="s">
        <v>2756</v>
      </c>
      <c r="E303" s="11" t="s">
        <v>2757</v>
      </c>
      <c r="F303" t="s">
        <v>189</v>
      </c>
      <c r="I303" s="11" t="s">
        <v>2758</v>
      </c>
    </row>
    <row r="304" spans="1:9" x14ac:dyDescent="0.25">
      <c r="A304">
        <v>303</v>
      </c>
      <c r="D304" t="s">
        <v>2759</v>
      </c>
      <c r="E304" t="s">
        <v>2760</v>
      </c>
      <c r="F304" t="s">
        <v>189</v>
      </c>
      <c r="I304" t="s">
        <v>2749</v>
      </c>
    </row>
    <row r="305" spans="1:9" x14ac:dyDescent="0.25">
      <c r="A305">
        <v>304</v>
      </c>
      <c r="D305" t="s">
        <v>2761</v>
      </c>
      <c r="E305" t="s">
        <v>2762</v>
      </c>
      <c r="F305" t="s">
        <v>189</v>
      </c>
      <c r="I305" t="s">
        <v>2763</v>
      </c>
    </row>
    <row r="306" spans="1:9" ht="120" x14ac:dyDescent="0.25">
      <c r="A306">
        <v>305</v>
      </c>
      <c r="D306" s="11" t="s">
        <v>2764</v>
      </c>
      <c r="E306" s="11" t="s">
        <v>2757</v>
      </c>
      <c r="F306" t="s">
        <v>189</v>
      </c>
      <c r="I306" s="11" t="s">
        <v>2758</v>
      </c>
    </row>
    <row r="307" spans="1:9" x14ac:dyDescent="0.25">
      <c r="A307">
        <v>306</v>
      </c>
      <c r="D307" t="s">
        <v>2765</v>
      </c>
      <c r="E307" t="s">
        <v>2766</v>
      </c>
      <c r="F307" t="s">
        <v>189</v>
      </c>
      <c r="I307" t="s">
        <v>2073</v>
      </c>
    </row>
    <row r="308" spans="1:9" x14ac:dyDescent="0.25">
      <c r="A308">
        <v>307</v>
      </c>
      <c r="D308" t="s">
        <v>2767</v>
      </c>
      <c r="E308" t="s">
        <v>2768</v>
      </c>
      <c r="F308" t="s">
        <v>189</v>
      </c>
      <c r="I308" t="s">
        <v>2769</v>
      </c>
    </row>
    <row r="309" spans="1:9" x14ac:dyDescent="0.25">
      <c r="A309">
        <v>308</v>
      </c>
      <c r="D309" t="s">
        <v>2770</v>
      </c>
      <c r="E309" t="s">
        <v>2771</v>
      </c>
      <c r="F309" t="s">
        <v>189</v>
      </c>
      <c r="I309" t="s">
        <v>2772</v>
      </c>
    </row>
    <row r="310" spans="1:9" ht="270" x14ac:dyDescent="0.25">
      <c r="A310">
        <v>309</v>
      </c>
      <c r="D310" t="s">
        <v>2773</v>
      </c>
      <c r="E310" t="s">
        <v>2774</v>
      </c>
      <c r="F310" t="s">
        <v>189</v>
      </c>
      <c r="I310" s="11" t="s">
        <v>2775</v>
      </c>
    </row>
    <row r="311" spans="1:9" x14ac:dyDescent="0.25">
      <c r="A311">
        <v>310</v>
      </c>
      <c r="D311" t="s">
        <v>2776</v>
      </c>
      <c r="E311" t="s">
        <v>2694</v>
      </c>
      <c r="F311" t="s">
        <v>189</v>
      </c>
      <c r="I311" t="s">
        <v>2777</v>
      </c>
    </row>
    <row r="312" spans="1:9" x14ac:dyDescent="0.25">
      <c r="A312">
        <v>311</v>
      </c>
      <c r="D312" t="s">
        <v>2778</v>
      </c>
      <c r="E312" t="s">
        <v>2779</v>
      </c>
      <c r="F312" t="s">
        <v>189</v>
      </c>
      <c r="I312" t="s">
        <v>2780</v>
      </c>
    </row>
    <row r="313" spans="1:9" x14ac:dyDescent="0.25">
      <c r="A313">
        <v>312</v>
      </c>
      <c r="D313" t="s">
        <v>2781</v>
      </c>
      <c r="E313" t="s">
        <v>2782</v>
      </c>
      <c r="F313" t="s">
        <v>189</v>
      </c>
      <c r="I313" t="s">
        <v>2783</v>
      </c>
    </row>
    <row r="314" spans="1:9" x14ac:dyDescent="0.25">
      <c r="A314">
        <v>313</v>
      </c>
      <c r="D314" t="s">
        <v>2784</v>
      </c>
      <c r="E314" t="s">
        <v>2785</v>
      </c>
      <c r="F314" t="s">
        <v>189</v>
      </c>
      <c r="I314" t="s">
        <v>2786</v>
      </c>
    </row>
    <row r="315" spans="1:9" x14ac:dyDescent="0.25">
      <c r="A315">
        <v>314</v>
      </c>
      <c r="D315" t="s">
        <v>2787</v>
      </c>
      <c r="E315" t="s">
        <v>2788</v>
      </c>
      <c r="F315" t="s">
        <v>189</v>
      </c>
      <c r="I315" t="s">
        <v>2789</v>
      </c>
    </row>
    <row r="316" spans="1:9" x14ac:dyDescent="0.25">
      <c r="A316">
        <v>315</v>
      </c>
      <c r="D316" t="s">
        <v>2790</v>
      </c>
      <c r="E316" t="s">
        <v>2791</v>
      </c>
      <c r="F316" t="s">
        <v>189</v>
      </c>
      <c r="I316" t="s">
        <v>2792</v>
      </c>
    </row>
    <row r="317" spans="1:9" x14ac:dyDescent="0.25">
      <c r="A317">
        <v>316</v>
      </c>
      <c r="D317" t="s">
        <v>2793</v>
      </c>
      <c r="E317" t="s">
        <v>2794</v>
      </c>
      <c r="F317" t="s">
        <v>189</v>
      </c>
      <c r="I317" t="s">
        <v>2795</v>
      </c>
    </row>
    <row r="318" spans="1:9" x14ac:dyDescent="0.25">
      <c r="A318">
        <v>317</v>
      </c>
      <c r="D318" t="s">
        <v>2796</v>
      </c>
      <c r="E318" t="s">
        <v>2797</v>
      </c>
      <c r="F318" t="s">
        <v>189</v>
      </c>
      <c r="I318" t="s">
        <v>2798</v>
      </c>
    </row>
    <row r="319" spans="1:9" x14ac:dyDescent="0.25">
      <c r="A319">
        <v>318</v>
      </c>
      <c r="D319" t="s">
        <v>2799</v>
      </c>
      <c r="E319" t="s">
        <v>2800</v>
      </c>
      <c r="F319" t="s">
        <v>189</v>
      </c>
      <c r="I319" t="s">
        <v>2801</v>
      </c>
    </row>
    <row r="320" spans="1:9" x14ac:dyDescent="0.25">
      <c r="A320">
        <v>319</v>
      </c>
      <c r="D320" t="s">
        <v>2802</v>
      </c>
      <c r="E320" t="s">
        <v>2803</v>
      </c>
      <c r="F320" t="s">
        <v>189</v>
      </c>
      <c r="I320" t="s">
        <v>2804</v>
      </c>
    </row>
    <row r="321" spans="1:9" x14ac:dyDescent="0.25">
      <c r="A321">
        <v>320</v>
      </c>
      <c r="D321" t="s">
        <v>2805</v>
      </c>
      <c r="E321" t="s">
        <v>2806</v>
      </c>
      <c r="F321" t="s">
        <v>189</v>
      </c>
      <c r="I321" t="s">
        <v>2807</v>
      </c>
    </row>
    <row r="322" spans="1:9" x14ac:dyDescent="0.25">
      <c r="A322">
        <v>321</v>
      </c>
      <c r="D322" t="s">
        <v>2808</v>
      </c>
      <c r="E322" t="s">
        <v>2809</v>
      </c>
      <c r="F322" t="s">
        <v>189</v>
      </c>
      <c r="I322" t="s">
        <v>1305</v>
      </c>
    </row>
    <row r="323" spans="1:9" x14ac:dyDescent="0.25">
      <c r="A323">
        <v>322</v>
      </c>
      <c r="D323" t="s">
        <v>2810</v>
      </c>
      <c r="E323" t="s">
        <v>2811</v>
      </c>
      <c r="F323" t="s">
        <v>189</v>
      </c>
      <c r="I323" t="s">
        <v>1305</v>
      </c>
    </row>
    <row r="324" spans="1:9" x14ac:dyDescent="0.25">
      <c r="A324">
        <v>323</v>
      </c>
      <c r="D324" t="s">
        <v>2812</v>
      </c>
      <c r="E324" t="s">
        <v>2813</v>
      </c>
      <c r="F324" t="s">
        <v>189</v>
      </c>
      <c r="I324" t="s">
        <v>1305</v>
      </c>
    </row>
    <row r="325" spans="1:9" x14ac:dyDescent="0.25">
      <c r="A325">
        <v>324</v>
      </c>
      <c r="D325" t="s">
        <v>2814</v>
      </c>
      <c r="E325" t="s">
        <v>2815</v>
      </c>
      <c r="F325" t="s">
        <v>189</v>
      </c>
      <c r="I325" t="s">
        <v>1305</v>
      </c>
    </row>
    <row r="326" spans="1:9" x14ac:dyDescent="0.25">
      <c r="A326">
        <v>325</v>
      </c>
      <c r="D326" t="s">
        <v>2816</v>
      </c>
      <c r="E326" t="s">
        <v>2817</v>
      </c>
      <c r="F326" t="s">
        <v>189</v>
      </c>
      <c r="I326" t="s">
        <v>1305</v>
      </c>
    </row>
    <row r="327" spans="1:9" x14ac:dyDescent="0.25">
      <c r="A327">
        <v>326</v>
      </c>
      <c r="D327" t="s">
        <v>2818</v>
      </c>
      <c r="E327" t="s">
        <v>2819</v>
      </c>
      <c r="F327" t="s">
        <v>189</v>
      </c>
      <c r="I327" t="s">
        <v>1305</v>
      </c>
    </row>
    <row r="328" spans="1:9" x14ac:dyDescent="0.25">
      <c r="A328">
        <v>327</v>
      </c>
      <c r="D328" t="s">
        <v>2820</v>
      </c>
      <c r="E328" t="s">
        <v>2821</v>
      </c>
      <c r="F328" t="s">
        <v>189</v>
      </c>
      <c r="I328" t="s">
        <v>1305</v>
      </c>
    </row>
    <row r="329" spans="1:9" x14ac:dyDescent="0.25">
      <c r="A329">
        <v>328</v>
      </c>
      <c r="D329" t="s">
        <v>2822</v>
      </c>
      <c r="E329" t="s">
        <v>2823</v>
      </c>
      <c r="F329" t="s">
        <v>189</v>
      </c>
      <c r="I329" t="s">
        <v>1305</v>
      </c>
    </row>
    <row r="330" spans="1:9" x14ac:dyDescent="0.25">
      <c r="A330">
        <v>329</v>
      </c>
      <c r="D330" t="s">
        <v>2824</v>
      </c>
      <c r="E330" t="s">
        <v>2825</v>
      </c>
      <c r="F330" t="s">
        <v>189</v>
      </c>
      <c r="I330" t="s">
        <v>1305</v>
      </c>
    </row>
    <row r="331" spans="1:9" x14ac:dyDescent="0.25">
      <c r="A331">
        <v>330</v>
      </c>
      <c r="D331" t="s">
        <v>2826</v>
      </c>
      <c r="E331" t="s">
        <v>2827</v>
      </c>
      <c r="F331" t="s">
        <v>189</v>
      </c>
      <c r="I331" t="s">
        <v>1305</v>
      </c>
    </row>
    <row r="332" spans="1:9" x14ac:dyDescent="0.25">
      <c r="A332">
        <v>331</v>
      </c>
      <c r="D332" t="s">
        <v>2828</v>
      </c>
      <c r="E332" t="s">
        <v>2829</v>
      </c>
      <c r="F332" t="s">
        <v>189</v>
      </c>
      <c r="I332" t="s">
        <v>1305</v>
      </c>
    </row>
    <row r="333" spans="1:9" x14ac:dyDescent="0.25">
      <c r="A333">
        <v>332</v>
      </c>
      <c r="D333" t="s">
        <v>2830</v>
      </c>
      <c r="E333" t="s">
        <v>2831</v>
      </c>
      <c r="F333" t="s">
        <v>189</v>
      </c>
      <c r="I333" t="s">
        <v>1305</v>
      </c>
    </row>
    <row r="334" spans="1:9" x14ac:dyDescent="0.25">
      <c r="A334">
        <v>333</v>
      </c>
      <c r="D334" t="s">
        <v>2832</v>
      </c>
      <c r="E334" t="s">
        <v>2833</v>
      </c>
      <c r="F334" t="s">
        <v>189</v>
      </c>
      <c r="I334" t="s">
        <v>1305</v>
      </c>
    </row>
    <row r="335" spans="1:9" x14ac:dyDescent="0.25">
      <c r="A335">
        <v>334</v>
      </c>
      <c r="D335" t="s">
        <v>2834</v>
      </c>
      <c r="E335" t="s">
        <v>2835</v>
      </c>
      <c r="F335" t="s">
        <v>189</v>
      </c>
      <c r="I335" t="s">
        <v>1305</v>
      </c>
    </row>
    <row r="336" spans="1:9" x14ac:dyDescent="0.25">
      <c r="A336">
        <v>335</v>
      </c>
      <c r="D336" t="s">
        <v>2836</v>
      </c>
      <c r="E336" t="s">
        <v>2837</v>
      </c>
      <c r="F336" t="s">
        <v>189</v>
      </c>
      <c r="I336" t="s">
        <v>1305</v>
      </c>
    </row>
    <row r="337" spans="1:9" x14ac:dyDescent="0.25">
      <c r="A337">
        <v>336</v>
      </c>
      <c r="D337" t="s">
        <v>2838</v>
      </c>
      <c r="E337" t="s">
        <v>2839</v>
      </c>
      <c r="F337" t="s">
        <v>189</v>
      </c>
      <c r="I337" t="s">
        <v>1305</v>
      </c>
    </row>
    <row r="338" spans="1:9" x14ac:dyDescent="0.25">
      <c r="A338">
        <v>337</v>
      </c>
      <c r="D338" t="s">
        <v>2840</v>
      </c>
      <c r="E338" t="s">
        <v>2841</v>
      </c>
      <c r="F338" t="s">
        <v>189</v>
      </c>
      <c r="I338" t="s">
        <v>1305</v>
      </c>
    </row>
    <row r="339" spans="1:9" x14ac:dyDescent="0.25">
      <c r="A339">
        <v>338</v>
      </c>
      <c r="D339" t="s">
        <v>2842</v>
      </c>
      <c r="E339" t="s">
        <v>2843</v>
      </c>
      <c r="F339" t="s">
        <v>189</v>
      </c>
      <c r="I339" t="s">
        <v>1305</v>
      </c>
    </row>
    <row r="340" spans="1:9" x14ac:dyDescent="0.25">
      <c r="A340">
        <v>339</v>
      </c>
      <c r="D340" t="s">
        <v>2844</v>
      </c>
      <c r="E340" t="s">
        <v>2845</v>
      </c>
      <c r="F340" t="s">
        <v>189</v>
      </c>
      <c r="I340" t="s">
        <v>1305</v>
      </c>
    </row>
    <row r="341" spans="1:9" x14ac:dyDescent="0.25">
      <c r="A341">
        <v>340</v>
      </c>
      <c r="D341" t="s">
        <v>2846</v>
      </c>
      <c r="E341" t="s">
        <v>2847</v>
      </c>
      <c r="F341" t="s">
        <v>189</v>
      </c>
      <c r="I341" t="s">
        <v>1305</v>
      </c>
    </row>
    <row r="342" spans="1:9" x14ac:dyDescent="0.25">
      <c r="A342">
        <v>341</v>
      </c>
      <c r="D342" t="s">
        <v>2848</v>
      </c>
      <c r="E342" t="s">
        <v>2849</v>
      </c>
      <c r="F342" t="s">
        <v>189</v>
      </c>
      <c r="I342" t="s">
        <v>1305</v>
      </c>
    </row>
    <row r="343" spans="1:9" x14ac:dyDescent="0.25">
      <c r="A343">
        <v>342</v>
      </c>
      <c r="D343" t="s">
        <v>2850</v>
      </c>
      <c r="E343" t="s">
        <v>2851</v>
      </c>
      <c r="F343" t="s">
        <v>189</v>
      </c>
      <c r="I343" t="s">
        <v>1305</v>
      </c>
    </row>
    <row r="344" spans="1:9" x14ac:dyDescent="0.25">
      <c r="A344">
        <v>343</v>
      </c>
      <c r="D344" t="s">
        <v>2852</v>
      </c>
      <c r="E344" t="s">
        <v>2853</v>
      </c>
      <c r="F344" t="s">
        <v>189</v>
      </c>
      <c r="I344" t="s">
        <v>1305</v>
      </c>
    </row>
    <row r="345" spans="1:9" x14ac:dyDescent="0.25">
      <c r="A345">
        <v>344</v>
      </c>
      <c r="D345" t="s">
        <v>2854</v>
      </c>
      <c r="E345" t="s">
        <v>2855</v>
      </c>
      <c r="F345" t="s">
        <v>189</v>
      </c>
      <c r="I345" t="s">
        <v>1305</v>
      </c>
    </row>
    <row r="346" spans="1:9" x14ac:dyDescent="0.25">
      <c r="A346">
        <v>345</v>
      </c>
      <c r="D346" t="s">
        <v>2856</v>
      </c>
      <c r="E346" t="s">
        <v>2857</v>
      </c>
      <c r="F346" t="s">
        <v>189</v>
      </c>
      <c r="I346" t="s">
        <v>1305</v>
      </c>
    </row>
    <row r="347" spans="1:9" x14ac:dyDescent="0.25">
      <c r="A347">
        <v>346</v>
      </c>
      <c r="D347" t="s">
        <v>2858</v>
      </c>
      <c r="E347" t="s">
        <v>2859</v>
      </c>
      <c r="F347" t="s">
        <v>189</v>
      </c>
      <c r="I347" t="s">
        <v>1305</v>
      </c>
    </row>
    <row r="348" spans="1:9" x14ac:dyDescent="0.25">
      <c r="A348">
        <v>347</v>
      </c>
      <c r="F348" t="s">
        <v>189</v>
      </c>
    </row>
    <row r="349" spans="1:9" x14ac:dyDescent="0.25">
      <c r="A349">
        <v>348</v>
      </c>
      <c r="D349" t="s">
        <v>2860</v>
      </c>
      <c r="E349" t="s">
        <v>2861</v>
      </c>
      <c r="F349" t="s">
        <v>189</v>
      </c>
      <c r="I349" t="s">
        <v>1305</v>
      </c>
    </row>
    <row r="350" spans="1:9" x14ac:dyDescent="0.25">
      <c r="A350">
        <v>349</v>
      </c>
      <c r="D350" t="s">
        <v>2862</v>
      </c>
      <c r="E350" t="s">
        <v>2863</v>
      </c>
      <c r="F350" t="s">
        <v>189</v>
      </c>
      <c r="I350" t="s">
        <v>1305</v>
      </c>
    </row>
    <row r="351" spans="1:9" x14ac:dyDescent="0.25">
      <c r="A351">
        <v>350</v>
      </c>
      <c r="D351" t="s">
        <v>2864</v>
      </c>
      <c r="E351" t="s">
        <v>2865</v>
      </c>
      <c r="F351" t="s">
        <v>189</v>
      </c>
      <c r="I351" t="s">
        <v>2866</v>
      </c>
    </row>
    <row r="352" spans="1:9" x14ac:dyDescent="0.25">
      <c r="A352">
        <v>351</v>
      </c>
      <c r="D352" t="s">
        <v>2867</v>
      </c>
      <c r="E352" t="s">
        <v>2868</v>
      </c>
      <c r="F352" t="s">
        <v>189</v>
      </c>
      <c r="I352" t="s">
        <v>2869</v>
      </c>
    </row>
    <row r="353" spans="1:9" x14ac:dyDescent="0.25">
      <c r="A353">
        <v>352</v>
      </c>
      <c r="D353" t="s">
        <v>2870</v>
      </c>
      <c r="E353" t="s">
        <v>2871</v>
      </c>
      <c r="F353" t="s">
        <v>189</v>
      </c>
      <c r="I353" t="s">
        <v>1305</v>
      </c>
    </row>
    <row r="354" spans="1:9" x14ac:dyDescent="0.25">
      <c r="A354">
        <v>353</v>
      </c>
      <c r="D354" t="s">
        <v>2872</v>
      </c>
      <c r="E354" t="s">
        <v>2873</v>
      </c>
      <c r="F354" t="s">
        <v>189</v>
      </c>
      <c r="I354" t="s">
        <v>2874</v>
      </c>
    </row>
    <row r="355" spans="1:9" x14ac:dyDescent="0.25">
      <c r="A355">
        <v>354</v>
      </c>
      <c r="D355" t="s">
        <v>2875</v>
      </c>
      <c r="E355" t="s">
        <v>2876</v>
      </c>
      <c r="F355" t="s">
        <v>189</v>
      </c>
    </row>
    <row r="356" spans="1:9" x14ac:dyDescent="0.25">
      <c r="A356">
        <v>355</v>
      </c>
      <c r="D356" t="s">
        <v>2877</v>
      </c>
      <c r="E356" t="s">
        <v>2878</v>
      </c>
      <c r="F356" t="s">
        <v>189</v>
      </c>
      <c r="I356" t="s">
        <v>2073</v>
      </c>
    </row>
    <row r="357" spans="1:9" x14ac:dyDescent="0.25">
      <c r="A357">
        <v>356</v>
      </c>
      <c r="D357" t="s">
        <v>2879</v>
      </c>
      <c r="E357" t="s">
        <v>2880</v>
      </c>
      <c r="F357" t="s">
        <v>189</v>
      </c>
      <c r="I357" t="s">
        <v>1305</v>
      </c>
    </row>
    <row r="358" spans="1:9" x14ac:dyDescent="0.25">
      <c r="A358">
        <v>357</v>
      </c>
      <c r="D358" t="s">
        <v>2881</v>
      </c>
      <c r="E358" t="s">
        <v>72</v>
      </c>
      <c r="F358" t="s">
        <v>189</v>
      </c>
      <c r="I358" t="s">
        <v>1305</v>
      </c>
    </row>
    <row r="359" spans="1:9" x14ac:dyDescent="0.25">
      <c r="A359">
        <v>358</v>
      </c>
      <c r="D359" t="s">
        <v>2882</v>
      </c>
      <c r="E359" t="s">
        <v>2883</v>
      </c>
      <c r="F359" t="s">
        <v>189</v>
      </c>
      <c r="I359" t="s">
        <v>1305</v>
      </c>
    </row>
    <row r="360" spans="1:9" x14ac:dyDescent="0.25">
      <c r="A360">
        <v>359</v>
      </c>
      <c r="D360" t="s">
        <v>2884</v>
      </c>
      <c r="E360" t="s">
        <v>2885</v>
      </c>
      <c r="F360" t="s">
        <v>189</v>
      </c>
      <c r="I360" t="s">
        <v>1305</v>
      </c>
    </row>
    <row r="361" spans="1:9" x14ac:dyDescent="0.25">
      <c r="A361">
        <v>360</v>
      </c>
      <c r="D361" t="s">
        <v>2886</v>
      </c>
      <c r="E361" t="s">
        <v>2887</v>
      </c>
      <c r="F361" t="s">
        <v>189</v>
      </c>
      <c r="I361" t="s">
        <v>1305</v>
      </c>
    </row>
    <row r="362" spans="1:9" x14ac:dyDescent="0.25">
      <c r="A362">
        <v>361</v>
      </c>
      <c r="D362" t="s">
        <v>2888</v>
      </c>
      <c r="E362" t="s">
        <v>2889</v>
      </c>
      <c r="F362" t="s">
        <v>189</v>
      </c>
      <c r="I362" t="s">
        <v>1305</v>
      </c>
    </row>
    <row r="363" spans="1:9" x14ac:dyDescent="0.25">
      <c r="A363">
        <v>362</v>
      </c>
      <c r="D363" t="s">
        <v>2890</v>
      </c>
      <c r="E363" t="s">
        <v>2891</v>
      </c>
      <c r="F363" t="s">
        <v>189</v>
      </c>
      <c r="I363" t="s">
        <v>1305</v>
      </c>
    </row>
    <row r="364" spans="1:9" x14ac:dyDescent="0.25">
      <c r="A364">
        <v>363</v>
      </c>
      <c r="D364" t="s">
        <v>2892</v>
      </c>
      <c r="E364" t="s">
        <v>2893</v>
      </c>
      <c r="F364" t="s">
        <v>189</v>
      </c>
      <c r="I364" t="s">
        <v>1305</v>
      </c>
    </row>
    <row r="365" spans="1:9" x14ac:dyDescent="0.25">
      <c r="A365">
        <v>364</v>
      </c>
      <c r="D365" t="s">
        <v>2894</v>
      </c>
      <c r="E365" t="s">
        <v>2895</v>
      </c>
      <c r="F365" t="s">
        <v>189</v>
      </c>
      <c r="I365" t="s">
        <v>1305</v>
      </c>
    </row>
    <row r="366" spans="1:9" x14ac:dyDescent="0.25">
      <c r="A366">
        <v>365</v>
      </c>
      <c r="D366" t="s">
        <v>2896</v>
      </c>
      <c r="E366" t="s">
        <v>2897</v>
      </c>
      <c r="F366" t="s">
        <v>189</v>
      </c>
      <c r="I366" t="s">
        <v>1305</v>
      </c>
    </row>
    <row r="367" spans="1:9" x14ac:dyDescent="0.25">
      <c r="A367">
        <v>366</v>
      </c>
      <c r="D367" t="s">
        <v>2898</v>
      </c>
      <c r="E367" t="s">
        <v>2899</v>
      </c>
      <c r="F367" t="s">
        <v>189</v>
      </c>
      <c r="I367" t="s">
        <v>1305</v>
      </c>
    </row>
    <row r="368" spans="1:9" x14ac:dyDescent="0.25">
      <c r="A368">
        <v>367</v>
      </c>
      <c r="D368" t="s">
        <v>2900</v>
      </c>
      <c r="E368" t="s">
        <v>2901</v>
      </c>
      <c r="F368" t="s">
        <v>189</v>
      </c>
      <c r="I368" t="s">
        <v>1305</v>
      </c>
    </row>
    <row r="369" spans="1:9" x14ac:dyDescent="0.25">
      <c r="A369">
        <v>368</v>
      </c>
      <c r="D369" t="s">
        <v>2902</v>
      </c>
      <c r="E369" t="s">
        <v>2903</v>
      </c>
      <c r="F369" t="s">
        <v>189</v>
      </c>
      <c r="I369" t="s">
        <v>1305</v>
      </c>
    </row>
    <row r="370" spans="1:9" x14ac:dyDescent="0.25">
      <c r="A370">
        <v>369</v>
      </c>
      <c r="D370" t="s">
        <v>2904</v>
      </c>
      <c r="E370" t="s">
        <v>2905</v>
      </c>
      <c r="F370" t="s">
        <v>189</v>
      </c>
      <c r="I370" t="s">
        <v>1305</v>
      </c>
    </row>
    <row r="371" spans="1:9" x14ac:dyDescent="0.25">
      <c r="A371">
        <v>370</v>
      </c>
      <c r="D371" t="s">
        <v>2906</v>
      </c>
      <c r="E371" t="s">
        <v>2907</v>
      </c>
      <c r="F371" t="s">
        <v>189</v>
      </c>
      <c r="I371" t="s">
        <v>1305</v>
      </c>
    </row>
    <row r="372" spans="1:9" x14ac:dyDescent="0.25">
      <c r="A372">
        <v>371</v>
      </c>
      <c r="D372" t="s">
        <v>2908</v>
      </c>
      <c r="E372" t="s">
        <v>2909</v>
      </c>
      <c r="F372" t="s">
        <v>189</v>
      </c>
      <c r="I372" t="s">
        <v>1305</v>
      </c>
    </row>
    <row r="373" spans="1:9" x14ac:dyDescent="0.25">
      <c r="A373">
        <v>372</v>
      </c>
      <c r="D373" t="s">
        <v>2910</v>
      </c>
      <c r="E373" t="s">
        <v>2911</v>
      </c>
      <c r="F373" t="s">
        <v>189</v>
      </c>
      <c r="I373" t="s">
        <v>1305</v>
      </c>
    </row>
    <row r="374" spans="1:9" x14ac:dyDescent="0.25">
      <c r="A374">
        <v>373</v>
      </c>
      <c r="D374" t="s">
        <v>2912</v>
      </c>
      <c r="E374" t="s">
        <v>2913</v>
      </c>
      <c r="F374" t="s">
        <v>189</v>
      </c>
      <c r="I374" t="s">
        <v>1305</v>
      </c>
    </row>
    <row r="375" spans="1:9" x14ac:dyDescent="0.25">
      <c r="A375">
        <v>374</v>
      </c>
      <c r="D375" t="s">
        <v>2914</v>
      </c>
      <c r="E375" t="s">
        <v>2915</v>
      </c>
      <c r="F375" t="s">
        <v>189</v>
      </c>
      <c r="I375" t="s">
        <v>1305</v>
      </c>
    </row>
    <row r="376" spans="1:9" x14ac:dyDescent="0.25">
      <c r="A376">
        <v>375</v>
      </c>
      <c r="D376" t="s">
        <v>2916</v>
      </c>
      <c r="E376" t="s">
        <v>2917</v>
      </c>
      <c r="F376" t="s">
        <v>189</v>
      </c>
      <c r="I376" t="s">
        <v>1305</v>
      </c>
    </row>
    <row r="377" spans="1:9" x14ac:dyDescent="0.25">
      <c r="A377">
        <v>376</v>
      </c>
      <c r="D377" t="s">
        <v>2918</v>
      </c>
      <c r="E377" t="s">
        <v>2919</v>
      </c>
      <c r="F377" t="s">
        <v>189</v>
      </c>
      <c r="I377" t="s">
        <v>1305</v>
      </c>
    </row>
    <row r="378" spans="1:9" x14ac:dyDescent="0.25">
      <c r="A378">
        <v>377</v>
      </c>
      <c r="D378" t="s">
        <v>2920</v>
      </c>
      <c r="E378" t="s">
        <v>2921</v>
      </c>
      <c r="F378" t="s">
        <v>189</v>
      </c>
      <c r="I378" t="s">
        <v>1305</v>
      </c>
    </row>
    <row r="379" spans="1:9" x14ac:dyDescent="0.25">
      <c r="A379">
        <v>378</v>
      </c>
      <c r="D379" t="s">
        <v>2922</v>
      </c>
      <c r="E379" t="s">
        <v>2923</v>
      </c>
      <c r="F379" t="s">
        <v>189</v>
      </c>
      <c r="I379" t="s">
        <v>1305</v>
      </c>
    </row>
    <row r="380" spans="1:9" x14ac:dyDescent="0.25">
      <c r="A380">
        <v>379</v>
      </c>
      <c r="D380" t="s">
        <v>2924</v>
      </c>
      <c r="E380" t="s">
        <v>2925</v>
      </c>
      <c r="F380" t="s">
        <v>189</v>
      </c>
      <c r="I380" t="s">
        <v>1305</v>
      </c>
    </row>
    <row r="381" spans="1:9" x14ac:dyDescent="0.25">
      <c r="A381">
        <v>380</v>
      </c>
      <c r="D381" t="s">
        <v>2926</v>
      </c>
      <c r="E381" t="s">
        <v>2927</v>
      </c>
      <c r="F381" t="s">
        <v>189</v>
      </c>
      <c r="I381" t="s">
        <v>1305</v>
      </c>
    </row>
    <row r="382" spans="1:9" x14ac:dyDescent="0.25">
      <c r="A382">
        <v>381</v>
      </c>
      <c r="D382" t="s">
        <v>2928</v>
      </c>
      <c r="E382" t="s">
        <v>2929</v>
      </c>
      <c r="F382" t="s">
        <v>189</v>
      </c>
      <c r="I382" t="s">
        <v>1305</v>
      </c>
    </row>
    <row r="383" spans="1:9" x14ac:dyDescent="0.25">
      <c r="A383">
        <v>382</v>
      </c>
      <c r="D383" t="s">
        <v>2930</v>
      </c>
      <c r="E383" t="s">
        <v>2931</v>
      </c>
      <c r="F383" t="s">
        <v>189</v>
      </c>
      <c r="I383" t="s">
        <v>1305</v>
      </c>
    </row>
    <row r="384" spans="1:9" x14ac:dyDescent="0.25">
      <c r="A384">
        <v>383</v>
      </c>
      <c r="D384" t="s">
        <v>2932</v>
      </c>
      <c r="E384" t="s">
        <v>2933</v>
      </c>
      <c r="F384" t="s">
        <v>189</v>
      </c>
      <c r="I384" t="s">
        <v>1305</v>
      </c>
    </row>
    <row r="385" spans="1:9" x14ac:dyDescent="0.25">
      <c r="A385">
        <v>384</v>
      </c>
      <c r="D385" t="s">
        <v>2934</v>
      </c>
      <c r="E385" t="s">
        <v>2935</v>
      </c>
      <c r="F385" t="s">
        <v>189</v>
      </c>
      <c r="I385" t="s">
        <v>1305</v>
      </c>
    </row>
    <row r="386" spans="1:9" x14ac:dyDescent="0.25">
      <c r="A386">
        <v>385</v>
      </c>
      <c r="D386" t="s">
        <v>2936</v>
      </c>
      <c r="E386" t="s">
        <v>2937</v>
      </c>
      <c r="F386" t="s">
        <v>189</v>
      </c>
      <c r="I386" t="s">
        <v>1305</v>
      </c>
    </row>
    <row r="387" spans="1:9" x14ac:dyDescent="0.25">
      <c r="A387">
        <v>386</v>
      </c>
      <c r="D387" t="s">
        <v>2938</v>
      </c>
      <c r="E387" t="s">
        <v>2939</v>
      </c>
      <c r="F387" t="s">
        <v>189</v>
      </c>
      <c r="I387" t="s">
        <v>1305</v>
      </c>
    </row>
    <row r="388" spans="1:9" x14ac:dyDescent="0.25">
      <c r="A388">
        <v>387</v>
      </c>
      <c r="D388" t="s">
        <v>2940</v>
      </c>
      <c r="E388" t="s">
        <v>2941</v>
      </c>
      <c r="F388" t="s">
        <v>189</v>
      </c>
      <c r="I388" t="s">
        <v>1305</v>
      </c>
    </row>
    <row r="389" spans="1:9" x14ac:dyDescent="0.25">
      <c r="A389">
        <v>388</v>
      </c>
      <c r="D389" t="s">
        <v>2942</v>
      </c>
      <c r="E389" t="s">
        <v>2943</v>
      </c>
      <c r="F389" t="s">
        <v>189</v>
      </c>
      <c r="I389" t="s">
        <v>1305</v>
      </c>
    </row>
    <row r="390" spans="1:9" x14ac:dyDescent="0.25">
      <c r="A390">
        <v>389</v>
      </c>
      <c r="D390" t="s">
        <v>2944</v>
      </c>
      <c r="E390" t="s">
        <v>2945</v>
      </c>
      <c r="F390" t="s">
        <v>189</v>
      </c>
      <c r="I390" t="s">
        <v>1305</v>
      </c>
    </row>
    <row r="391" spans="1:9" x14ac:dyDescent="0.25">
      <c r="A391">
        <v>390</v>
      </c>
      <c r="D391" t="s">
        <v>2946</v>
      </c>
      <c r="E391" t="s">
        <v>2947</v>
      </c>
      <c r="F391" t="s">
        <v>189</v>
      </c>
      <c r="I391" t="s">
        <v>1305</v>
      </c>
    </row>
    <row r="392" spans="1:9" x14ac:dyDescent="0.25">
      <c r="A392">
        <v>391</v>
      </c>
    </row>
    <row r="393" spans="1:9" x14ac:dyDescent="0.25">
      <c r="A393">
        <v>392</v>
      </c>
    </row>
    <row r="394" spans="1:9" x14ac:dyDescent="0.25">
      <c r="A394">
        <v>393</v>
      </c>
    </row>
    <row r="395" spans="1:9" x14ac:dyDescent="0.25">
      <c r="A395">
        <v>394</v>
      </c>
    </row>
    <row r="396" spans="1:9" x14ac:dyDescent="0.25">
      <c r="A396">
        <v>395</v>
      </c>
    </row>
    <row r="397" spans="1:9" x14ac:dyDescent="0.25">
      <c r="A397">
        <v>396</v>
      </c>
    </row>
    <row r="398" spans="1:9" x14ac:dyDescent="0.25">
      <c r="A398">
        <v>397</v>
      </c>
    </row>
    <row r="399" spans="1:9" x14ac:dyDescent="0.25">
      <c r="A399">
        <v>398</v>
      </c>
    </row>
    <row r="400" spans="1:9" x14ac:dyDescent="0.25">
      <c r="A400">
        <v>399</v>
      </c>
    </row>
    <row r="401" spans="1:1" x14ac:dyDescent="0.25">
      <c r="A401">
        <v>400</v>
      </c>
    </row>
    <row r="402" spans="1:1" x14ac:dyDescent="0.25">
      <c r="A402">
        <v>401</v>
      </c>
    </row>
    <row r="403" spans="1:1" x14ac:dyDescent="0.25">
      <c r="A403">
        <v>402</v>
      </c>
    </row>
    <row r="404" spans="1:1" x14ac:dyDescent="0.25">
      <c r="A404">
        <v>403</v>
      </c>
    </row>
    <row r="405" spans="1:1" x14ac:dyDescent="0.25">
      <c r="A405">
        <v>404</v>
      </c>
    </row>
    <row r="406" spans="1:1" x14ac:dyDescent="0.25">
      <c r="A406">
        <v>405</v>
      </c>
    </row>
    <row r="407" spans="1:1" x14ac:dyDescent="0.25">
      <c r="A407">
        <v>406</v>
      </c>
    </row>
    <row r="408" spans="1:1" x14ac:dyDescent="0.25">
      <c r="A408">
        <v>407</v>
      </c>
    </row>
    <row r="409" spans="1:1" x14ac:dyDescent="0.25">
      <c r="A409">
        <v>408</v>
      </c>
    </row>
    <row r="410" spans="1:1" x14ac:dyDescent="0.25">
      <c r="A410">
        <v>409</v>
      </c>
    </row>
    <row r="411" spans="1:1" x14ac:dyDescent="0.25">
      <c r="A411">
        <v>410</v>
      </c>
    </row>
    <row r="412" spans="1:1" x14ac:dyDescent="0.25">
      <c r="A412">
        <v>411</v>
      </c>
    </row>
    <row r="413" spans="1:1" x14ac:dyDescent="0.25">
      <c r="A413">
        <v>412</v>
      </c>
    </row>
    <row r="414" spans="1:1" x14ac:dyDescent="0.25">
      <c r="A414">
        <v>413</v>
      </c>
    </row>
    <row r="415" spans="1:1" x14ac:dyDescent="0.25">
      <c r="A415">
        <v>414</v>
      </c>
    </row>
    <row r="416" spans="1:1" x14ac:dyDescent="0.25">
      <c r="A416">
        <v>415</v>
      </c>
    </row>
    <row r="417" spans="1:1" x14ac:dyDescent="0.25">
      <c r="A417">
        <v>416</v>
      </c>
    </row>
    <row r="418" spans="1:1" x14ac:dyDescent="0.25">
      <c r="A418">
        <v>417</v>
      </c>
    </row>
    <row r="419" spans="1:1" x14ac:dyDescent="0.25">
      <c r="A419">
        <v>418</v>
      </c>
    </row>
    <row r="420" spans="1:1" x14ac:dyDescent="0.25">
      <c r="A420">
        <v>419</v>
      </c>
    </row>
    <row r="421" spans="1:1" x14ac:dyDescent="0.25">
      <c r="A421">
        <v>420</v>
      </c>
    </row>
    <row r="422" spans="1:1" x14ac:dyDescent="0.25">
      <c r="A422">
        <v>421</v>
      </c>
    </row>
    <row r="423" spans="1:1" x14ac:dyDescent="0.25">
      <c r="A423">
        <v>422</v>
      </c>
    </row>
    <row r="424" spans="1:1" x14ac:dyDescent="0.25">
      <c r="A424">
        <v>423</v>
      </c>
    </row>
    <row r="425" spans="1:1" x14ac:dyDescent="0.25">
      <c r="A425">
        <v>424</v>
      </c>
    </row>
    <row r="426" spans="1:1" x14ac:dyDescent="0.25">
      <c r="A426">
        <v>425</v>
      </c>
    </row>
    <row r="427" spans="1:1" x14ac:dyDescent="0.25">
      <c r="A427">
        <v>426</v>
      </c>
    </row>
    <row r="428" spans="1:1" x14ac:dyDescent="0.25">
      <c r="A428">
        <v>427</v>
      </c>
    </row>
    <row r="429" spans="1:1" x14ac:dyDescent="0.25">
      <c r="A429">
        <v>428</v>
      </c>
    </row>
    <row r="430" spans="1:1" x14ac:dyDescent="0.25">
      <c r="A430">
        <v>429</v>
      </c>
    </row>
    <row r="431" spans="1:1" x14ac:dyDescent="0.25">
      <c r="A431">
        <v>430</v>
      </c>
    </row>
    <row r="432" spans="1:1" x14ac:dyDescent="0.25">
      <c r="A432">
        <v>431</v>
      </c>
    </row>
    <row r="433" spans="1:5" x14ac:dyDescent="0.25">
      <c r="A433">
        <v>432</v>
      </c>
    </row>
    <row r="434" spans="1:5" x14ac:dyDescent="0.25">
      <c r="A434">
        <v>433</v>
      </c>
    </row>
    <row r="435" spans="1:5" x14ac:dyDescent="0.25">
      <c r="A435">
        <v>434</v>
      </c>
    </row>
    <row r="436" spans="1:5" x14ac:dyDescent="0.25">
      <c r="A436">
        <v>435</v>
      </c>
    </row>
    <row r="437" spans="1:5" x14ac:dyDescent="0.25">
      <c r="A437">
        <v>436</v>
      </c>
    </row>
    <row r="438" spans="1:5" x14ac:dyDescent="0.25">
      <c r="A438">
        <v>437</v>
      </c>
    </row>
    <row r="439" spans="1:5" x14ac:dyDescent="0.25">
      <c r="A439">
        <v>438</v>
      </c>
    </row>
    <row r="440" spans="1:5" x14ac:dyDescent="0.25">
      <c r="A440">
        <v>439</v>
      </c>
    </row>
    <row r="441" spans="1:5" x14ac:dyDescent="0.25">
      <c r="A441">
        <v>440</v>
      </c>
    </row>
    <row r="442" spans="1:5" x14ac:dyDescent="0.25">
      <c r="A442">
        <v>441</v>
      </c>
    </row>
    <row r="443" spans="1:5" x14ac:dyDescent="0.25">
      <c r="A443">
        <v>442</v>
      </c>
    </row>
    <row r="444" spans="1:5" x14ac:dyDescent="0.25">
      <c r="A444">
        <v>443</v>
      </c>
    </row>
    <row r="445" spans="1:5" x14ac:dyDescent="0.25">
      <c r="A445">
        <v>444</v>
      </c>
    </row>
    <row r="446" spans="1:5" x14ac:dyDescent="0.25">
      <c r="A446">
        <v>445</v>
      </c>
      <c r="C446" t="s">
        <v>804</v>
      </c>
      <c r="D446" t="s">
        <v>805</v>
      </c>
      <c r="E446" t="s">
        <v>806</v>
      </c>
    </row>
    <row r="447" spans="1:5" x14ac:dyDescent="0.25">
      <c r="A447">
        <v>446</v>
      </c>
      <c r="D447" t="s">
        <v>807</v>
      </c>
      <c r="E447" t="s">
        <v>808</v>
      </c>
    </row>
    <row r="448" spans="1:5" x14ac:dyDescent="0.25">
      <c r="A448">
        <v>447</v>
      </c>
    </row>
    <row r="449" spans="1:1" x14ac:dyDescent="0.25">
      <c r="A449">
        <v>448</v>
      </c>
    </row>
    <row r="450" spans="1:1" x14ac:dyDescent="0.25">
      <c r="A450">
        <v>449</v>
      </c>
    </row>
    <row r="451" spans="1:1" x14ac:dyDescent="0.25">
      <c r="A451">
        <v>450</v>
      </c>
    </row>
    <row r="452" spans="1:1" x14ac:dyDescent="0.25">
      <c r="A452">
        <v>451</v>
      </c>
    </row>
    <row r="453" spans="1:1" x14ac:dyDescent="0.25">
      <c r="A453">
        <v>452</v>
      </c>
    </row>
    <row r="454" spans="1:1" x14ac:dyDescent="0.25">
      <c r="A454">
        <v>453</v>
      </c>
    </row>
    <row r="455" spans="1:1" x14ac:dyDescent="0.25">
      <c r="A455">
        <v>454</v>
      </c>
    </row>
    <row r="456" spans="1:1" x14ac:dyDescent="0.25">
      <c r="A456">
        <v>455</v>
      </c>
    </row>
    <row r="457" spans="1:1" x14ac:dyDescent="0.25">
      <c r="A457">
        <v>456</v>
      </c>
    </row>
    <row r="458" spans="1:1" x14ac:dyDescent="0.25">
      <c r="A458">
        <v>457</v>
      </c>
    </row>
    <row r="459" spans="1:1" x14ac:dyDescent="0.25">
      <c r="A459">
        <v>458</v>
      </c>
    </row>
    <row r="460" spans="1:1" x14ac:dyDescent="0.25">
      <c r="A460">
        <v>459</v>
      </c>
    </row>
    <row r="461" spans="1:1" x14ac:dyDescent="0.25">
      <c r="A461">
        <v>460</v>
      </c>
    </row>
    <row r="462" spans="1:1" x14ac:dyDescent="0.25">
      <c r="A462">
        <v>461</v>
      </c>
    </row>
    <row r="463" spans="1:1" x14ac:dyDescent="0.25">
      <c r="A463">
        <v>462</v>
      </c>
    </row>
    <row r="464" spans="1:1" x14ac:dyDescent="0.25">
      <c r="A464">
        <v>463</v>
      </c>
    </row>
    <row r="465" spans="1:1" x14ac:dyDescent="0.25">
      <c r="A465">
        <v>464</v>
      </c>
    </row>
    <row r="466" spans="1:1" x14ac:dyDescent="0.25">
      <c r="A466">
        <v>465</v>
      </c>
    </row>
    <row r="467" spans="1:1" x14ac:dyDescent="0.25">
      <c r="A467">
        <v>466</v>
      </c>
    </row>
    <row r="468" spans="1:1" x14ac:dyDescent="0.25">
      <c r="A468">
        <v>467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Publications_Summary</vt:lpstr>
      <vt:lpstr>Faculty_Metrics</vt:lpstr>
      <vt:lpstr>Tracking_Log</vt:lpstr>
      <vt:lpstr>Faculty_Data</vt:lpstr>
      <vt:lpstr>Data_2025</vt:lpstr>
      <vt:lpstr>Data_2024</vt:lpstr>
      <vt:lpstr>Data_2023</vt:lpstr>
      <vt:lpstr>Data_2022</vt:lpstr>
      <vt:lpstr>Data_2021</vt:lpstr>
      <vt:lpstr>Data_2020</vt:lpstr>
      <vt:lpstr>Data_2018_2019</vt:lpstr>
      <vt:lpstr>Data_2017_below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Jherico Santos</cp:lastModifiedBy>
  <cp:revision>0</cp:revision>
  <dcterms:created xsi:type="dcterms:W3CDTF">2026-01-27T14:05:06Z</dcterms:created>
  <dcterms:modified xsi:type="dcterms:W3CDTF">2026-01-29T14:43:17Z</dcterms:modified>
  <dc:language>en-US</dc:language>
</cp:coreProperties>
</file>